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baiz\RKT MABAIZ 2025-2026\"/>
    </mc:Choice>
  </mc:AlternateContent>
  <xr:revisionPtr revIDLastSave="0" documentId="13_ncr:1_{528FAFCB-E062-42C8-8279-4D02E7334DED}" xr6:coauthVersionLast="36" xr6:coauthVersionMax="47" xr10:uidLastSave="{00000000-0000-0000-0000-000000000000}"/>
  <bookViews>
    <workbookView xWindow="11880" yWindow="-11640" windowWidth="15600" windowHeight="11310" firstSheet="2" activeTab="5" xr2:uid="{00000000-000D-0000-FFFF-FFFF00000000}"/>
  </bookViews>
  <sheets>
    <sheet name="KALDIK 2025-2026" sheetId="19" r:id="rId1"/>
    <sheet name="KALDIK 2024-2025" sheetId="9" r:id="rId2"/>
    <sheet name="Rombel &amp; Wali Kelas" sheetId="11" r:id="rId3"/>
    <sheet name="Kepanitiaan" sheetId="12" r:id="rId4"/>
    <sheet name="JADWAL DINIYAH (2)" sheetId="17" r:id="rId5"/>
    <sheet name="SERAGAM ASATIDZAH" sheetId="15" r:id="rId6"/>
    <sheet name="tahsin" sheetId="14" r:id="rId7"/>
  </sheets>
  <calcPr calcId="191029"/>
</workbook>
</file>

<file path=xl/calcChain.xml><?xml version="1.0" encoding="utf-8"?>
<calcChain xmlns="http://schemas.openxmlformats.org/spreadsheetml/2006/main">
  <c r="H31" i="11" l="1"/>
  <c r="H33" i="11" l="1"/>
  <c r="H32" i="11"/>
  <c r="AP22" i="9" l="1" a="1"/>
  <c r="AU27" i="9" s="1"/>
  <c r="AH22" i="9" a="1"/>
  <c r="AH27" i="9" s="1"/>
  <c r="Z22" i="9" a="1"/>
  <c r="AC27" i="9" s="1"/>
  <c r="R22" i="9" a="1"/>
  <c r="X26" i="9" s="1"/>
  <c r="J22" i="9" a="1"/>
  <c r="N27" i="9" s="1"/>
  <c r="B22" i="9" a="1"/>
  <c r="B23" i="9" s="1"/>
  <c r="AP6" i="9" a="1"/>
  <c r="AT11" i="9" s="1"/>
  <c r="AH6" i="9" a="1"/>
  <c r="AL11" i="9" s="1"/>
  <c r="Z6" i="9" a="1"/>
  <c r="AE11" i="9" s="1"/>
  <c r="R6" i="9" a="1"/>
  <c r="R11" i="9" s="1"/>
  <c r="J6" i="9" a="1"/>
  <c r="M11" i="9" s="1"/>
  <c r="B6" i="9" a="1"/>
  <c r="H10" i="9" s="1"/>
  <c r="Z23" i="9" l="1"/>
  <c r="AA24" i="9"/>
  <c r="AB25" i="9"/>
  <c r="AC26" i="9"/>
  <c r="AD27" i="9"/>
  <c r="AL22" i="9"/>
  <c r="AM23" i="9"/>
  <c r="AN24" i="9"/>
  <c r="AH26" i="9"/>
  <c r="AI27" i="9"/>
  <c r="AQ22" i="9"/>
  <c r="AR23" i="9"/>
  <c r="AS24" i="9"/>
  <c r="AT25" i="9"/>
  <c r="AU26" i="9"/>
  <c r="AV27" i="9"/>
  <c r="U22" i="9"/>
  <c r="V23" i="9"/>
  <c r="W24" i="9"/>
  <c r="X25" i="9"/>
  <c r="R27" i="9"/>
  <c r="Z22" i="9"/>
  <c r="AA23" i="9"/>
  <c r="AB24" i="9"/>
  <c r="AC25" i="9"/>
  <c r="AD26" i="9"/>
  <c r="AE27" i="9"/>
  <c r="AM22" i="9"/>
  <c r="AN23" i="9"/>
  <c r="AH25" i="9"/>
  <c r="AI26" i="9"/>
  <c r="AJ27" i="9"/>
  <c r="AR22" i="9"/>
  <c r="AS23" i="9"/>
  <c r="AT24" i="9"/>
  <c r="AU25" i="9"/>
  <c r="AV26" i="9"/>
  <c r="V22" i="9"/>
  <c r="W23" i="9"/>
  <c r="X24" i="9"/>
  <c r="R26" i="9"/>
  <c r="S27" i="9"/>
  <c r="AA22" i="9"/>
  <c r="AB23" i="9"/>
  <c r="AC24" i="9"/>
  <c r="AD25" i="9"/>
  <c r="AE26" i="9"/>
  <c r="AF27" i="9"/>
  <c r="AN22" i="9"/>
  <c r="AH24" i="9"/>
  <c r="AI25" i="9"/>
  <c r="AJ26" i="9"/>
  <c r="AK27" i="9"/>
  <c r="AS22" i="9"/>
  <c r="AT23" i="9"/>
  <c r="AU24" i="9"/>
  <c r="AV25" i="9"/>
  <c r="AP27" i="9"/>
  <c r="AH23" i="9"/>
  <c r="AI24" i="9"/>
  <c r="AJ25" i="9"/>
  <c r="AK26" i="9"/>
  <c r="AL27" i="9"/>
  <c r="AT22" i="9"/>
  <c r="AU23" i="9"/>
  <c r="AV24" i="9"/>
  <c r="AP26" i="9"/>
  <c r="AQ27" i="9"/>
  <c r="R23" i="9"/>
  <c r="S24" i="9"/>
  <c r="T25" i="9"/>
  <c r="U26" i="9"/>
  <c r="V27" i="9"/>
  <c r="AD22" i="9"/>
  <c r="AE23" i="9"/>
  <c r="AF24" i="9"/>
  <c r="Z26" i="9"/>
  <c r="AA27" i="9"/>
  <c r="AI22" i="9"/>
  <c r="AJ23" i="9"/>
  <c r="AK24" i="9"/>
  <c r="AL25" i="9"/>
  <c r="AM26" i="9"/>
  <c r="AN27" i="9"/>
  <c r="AV22" i="9"/>
  <c r="AP24" i="9"/>
  <c r="AQ25" i="9"/>
  <c r="AR26" i="9"/>
  <c r="AS27" i="9"/>
  <c r="AP23" i="9"/>
  <c r="AQ24" i="9"/>
  <c r="AR25" i="9"/>
  <c r="AS26" i="9"/>
  <c r="AT27" i="9"/>
  <c r="W22" i="9"/>
  <c r="X23" i="9"/>
  <c r="R25" i="9"/>
  <c r="S26" i="9"/>
  <c r="T27" i="9"/>
  <c r="AB22" i="9"/>
  <c r="AC23" i="9"/>
  <c r="AD24" i="9"/>
  <c r="AE25" i="9"/>
  <c r="AF26" i="9"/>
  <c r="X22" i="9"/>
  <c r="R24" i="9"/>
  <c r="S25" i="9"/>
  <c r="T26" i="9"/>
  <c r="U27" i="9"/>
  <c r="AC22" i="9"/>
  <c r="AD23" i="9"/>
  <c r="AE24" i="9"/>
  <c r="AF25" i="9"/>
  <c r="Z27" i="9"/>
  <c r="AH22" i="9"/>
  <c r="AI23" i="9"/>
  <c r="AJ24" i="9"/>
  <c r="AK25" i="9"/>
  <c r="AL26" i="9"/>
  <c r="AM27" i="9"/>
  <c r="AU22" i="9"/>
  <c r="AV23" i="9"/>
  <c r="AP25" i="9"/>
  <c r="AQ26" i="9"/>
  <c r="AR27" i="9"/>
  <c r="R22" i="9"/>
  <c r="S23" i="9"/>
  <c r="T24" i="9"/>
  <c r="U25" i="9"/>
  <c r="V26" i="9"/>
  <c r="W27" i="9"/>
  <c r="AE22" i="9"/>
  <c r="AF23" i="9"/>
  <c r="Z25" i="9"/>
  <c r="AA26" i="9"/>
  <c r="AB27" i="9"/>
  <c r="AJ22" i="9"/>
  <c r="AK23" i="9"/>
  <c r="AL24" i="9"/>
  <c r="AM25" i="9"/>
  <c r="AN26" i="9"/>
  <c r="S22" i="9"/>
  <c r="T23" i="9"/>
  <c r="U24" i="9"/>
  <c r="V25" i="9"/>
  <c r="W26" i="9"/>
  <c r="X27" i="9"/>
  <c r="AF22" i="9"/>
  <c r="Z24" i="9"/>
  <c r="AA25" i="9"/>
  <c r="AB26" i="9"/>
  <c r="AK22" i="9"/>
  <c r="AL23" i="9"/>
  <c r="AM24" i="9"/>
  <c r="AN25" i="9"/>
  <c r="AP22" i="9"/>
  <c r="AQ23" i="9"/>
  <c r="AR24" i="9"/>
  <c r="AS25" i="9"/>
  <c r="AT26" i="9"/>
  <c r="T22" i="9"/>
  <c r="U23" i="9"/>
  <c r="V24" i="9"/>
  <c r="W25" i="9"/>
  <c r="C24" i="9"/>
  <c r="D25" i="9"/>
  <c r="E26" i="9"/>
  <c r="F27" i="9"/>
  <c r="N22" i="9"/>
  <c r="O23" i="9"/>
  <c r="P24" i="9"/>
  <c r="J26" i="9"/>
  <c r="B22" i="9"/>
  <c r="C23" i="9"/>
  <c r="D24" i="9"/>
  <c r="E25" i="9"/>
  <c r="F26" i="9"/>
  <c r="G27" i="9"/>
  <c r="O22" i="9"/>
  <c r="P23" i="9"/>
  <c r="J25" i="9"/>
  <c r="K26" i="9"/>
  <c r="L27" i="9"/>
  <c r="C22" i="9"/>
  <c r="D23" i="9"/>
  <c r="E24" i="9"/>
  <c r="F25" i="9"/>
  <c r="G26" i="9"/>
  <c r="H27" i="9"/>
  <c r="P22" i="9"/>
  <c r="J24" i="9"/>
  <c r="K25" i="9"/>
  <c r="L26" i="9"/>
  <c r="M27" i="9"/>
  <c r="D22" i="9"/>
  <c r="E23" i="9"/>
  <c r="F24" i="9"/>
  <c r="G25" i="9"/>
  <c r="H26" i="9"/>
  <c r="E22" i="9"/>
  <c r="F23" i="9"/>
  <c r="G24" i="9"/>
  <c r="H25" i="9"/>
  <c r="B27" i="9"/>
  <c r="J22" i="9"/>
  <c r="K23" i="9"/>
  <c r="L24" i="9"/>
  <c r="M25" i="9"/>
  <c r="N26" i="9"/>
  <c r="O27" i="9"/>
  <c r="F22" i="9"/>
  <c r="G23" i="9"/>
  <c r="H24" i="9"/>
  <c r="B26" i="9"/>
  <c r="C27" i="9"/>
  <c r="K22" i="9"/>
  <c r="L23" i="9"/>
  <c r="M24" i="9"/>
  <c r="N25" i="9"/>
  <c r="O26" i="9"/>
  <c r="P27" i="9"/>
  <c r="G22" i="9"/>
  <c r="H23" i="9"/>
  <c r="B25" i="9"/>
  <c r="C26" i="9"/>
  <c r="D27" i="9"/>
  <c r="L22" i="9"/>
  <c r="M23" i="9"/>
  <c r="N24" i="9"/>
  <c r="O25" i="9"/>
  <c r="P26" i="9"/>
  <c r="H22" i="9"/>
  <c r="B24" i="9"/>
  <c r="C25" i="9"/>
  <c r="D26" i="9"/>
  <c r="E27" i="9"/>
  <c r="M22" i="9"/>
  <c r="N23" i="9"/>
  <c r="O24" i="9"/>
  <c r="P25" i="9"/>
  <c r="J27" i="9"/>
  <c r="K27" i="9"/>
  <c r="J23" i="9"/>
  <c r="K24" i="9"/>
  <c r="L25" i="9"/>
  <c r="M26" i="9"/>
  <c r="AH7" i="9"/>
  <c r="AJ9" i="9"/>
  <c r="AK10" i="9"/>
  <c r="AT6" i="9"/>
  <c r="AU7" i="9"/>
  <c r="AV8" i="9"/>
  <c r="AP10" i="9"/>
  <c r="AH6" i="9"/>
  <c r="AI7" i="9"/>
  <c r="AJ8" i="9"/>
  <c r="AK9" i="9"/>
  <c r="AL10" i="9"/>
  <c r="AM11" i="9"/>
  <c r="AU6" i="9"/>
  <c r="AV7" i="9"/>
  <c r="AP9" i="9"/>
  <c r="AQ10" i="9"/>
  <c r="AR11" i="9"/>
  <c r="AI6" i="9"/>
  <c r="AJ7" i="9"/>
  <c r="AK8" i="9"/>
  <c r="AL9" i="9"/>
  <c r="AM10" i="9"/>
  <c r="AN11" i="9"/>
  <c r="AV6" i="9"/>
  <c r="AP8" i="9"/>
  <c r="AQ9" i="9"/>
  <c r="AR10" i="9"/>
  <c r="AS11" i="9"/>
  <c r="AJ6" i="9"/>
  <c r="AK7" i="9"/>
  <c r="AL8" i="9"/>
  <c r="AM9" i="9"/>
  <c r="AN10" i="9"/>
  <c r="AK6" i="9"/>
  <c r="AL7" i="9"/>
  <c r="AM8" i="9"/>
  <c r="AN9" i="9"/>
  <c r="AH11" i="9"/>
  <c r="AP6" i="9"/>
  <c r="AQ7" i="9"/>
  <c r="AR8" i="9"/>
  <c r="AS9" i="9"/>
  <c r="AT10" i="9"/>
  <c r="AU11" i="9"/>
  <c r="AL6" i="9"/>
  <c r="AM7" i="9"/>
  <c r="AN8" i="9"/>
  <c r="AH10" i="9"/>
  <c r="AI11" i="9"/>
  <c r="AQ6" i="9"/>
  <c r="AR7" i="9"/>
  <c r="AS8" i="9"/>
  <c r="AT9" i="9"/>
  <c r="AU10" i="9"/>
  <c r="AV11" i="9"/>
  <c r="AM6" i="9"/>
  <c r="AN7" i="9"/>
  <c r="AH9" i="9"/>
  <c r="AI10" i="9"/>
  <c r="AJ11" i="9"/>
  <c r="AR6" i="9"/>
  <c r="AS7" i="9"/>
  <c r="AT8" i="9"/>
  <c r="AU9" i="9"/>
  <c r="AV10" i="9"/>
  <c r="AN6" i="9"/>
  <c r="AH8" i="9"/>
  <c r="AI9" i="9"/>
  <c r="AJ10" i="9"/>
  <c r="AK11" i="9"/>
  <c r="AS6" i="9"/>
  <c r="AT7" i="9"/>
  <c r="AU8" i="9"/>
  <c r="AV9" i="9"/>
  <c r="AP11" i="9"/>
  <c r="AI8" i="9"/>
  <c r="AQ11" i="9"/>
  <c r="AP7" i="9"/>
  <c r="AQ8" i="9"/>
  <c r="AR9" i="9"/>
  <c r="AS10" i="9"/>
  <c r="J7" i="9"/>
  <c r="K8" i="9"/>
  <c r="L9" i="9"/>
  <c r="M10" i="9"/>
  <c r="N11" i="9"/>
  <c r="V6" i="9"/>
  <c r="W7" i="9"/>
  <c r="X8" i="9"/>
  <c r="R10" i="9"/>
  <c r="S11" i="9"/>
  <c r="AA6" i="9"/>
  <c r="AB7" i="9"/>
  <c r="AC8" i="9"/>
  <c r="AD9" i="9"/>
  <c r="AE10" i="9"/>
  <c r="AF11" i="9"/>
  <c r="E6" i="9"/>
  <c r="F7" i="9"/>
  <c r="G8" i="9"/>
  <c r="H9" i="9"/>
  <c r="B11" i="9"/>
  <c r="J6" i="9"/>
  <c r="K7" i="9"/>
  <c r="L8" i="9"/>
  <c r="M9" i="9"/>
  <c r="N10" i="9"/>
  <c r="O11" i="9"/>
  <c r="W6" i="9"/>
  <c r="X7" i="9"/>
  <c r="R9" i="9"/>
  <c r="S10" i="9"/>
  <c r="T11" i="9"/>
  <c r="AB6" i="9"/>
  <c r="AC7" i="9"/>
  <c r="AD8" i="9"/>
  <c r="AE9" i="9"/>
  <c r="AF10" i="9"/>
  <c r="R7" i="9"/>
  <c r="S8" i="9"/>
  <c r="T9" i="9"/>
  <c r="U10" i="9"/>
  <c r="V11" i="9"/>
  <c r="AD6" i="9"/>
  <c r="AE7" i="9"/>
  <c r="AF8" i="9"/>
  <c r="Z10" i="9"/>
  <c r="AA11" i="9"/>
  <c r="C8" i="9"/>
  <c r="E10" i="9"/>
  <c r="N6" i="9"/>
  <c r="P8" i="9"/>
  <c r="K11" i="9"/>
  <c r="T7" i="9"/>
  <c r="V9" i="9"/>
  <c r="X11" i="9"/>
  <c r="Z8" i="9"/>
  <c r="AB10" i="9"/>
  <c r="F6" i="9"/>
  <c r="G7" i="9"/>
  <c r="H8" i="9"/>
  <c r="B10" i="9"/>
  <c r="C11" i="9"/>
  <c r="K6" i="9"/>
  <c r="L7" i="9"/>
  <c r="M8" i="9"/>
  <c r="N9" i="9"/>
  <c r="O10" i="9"/>
  <c r="P11" i="9"/>
  <c r="X6" i="9"/>
  <c r="R8" i="9"/>
  <c r="S9" i="9"/>
  <c r="T10" i="9"/>
  <c r="U11" i="9"/>
  <c r="AC6" i="9"/>
  <c r="AD7" i="9"/>
  <c r="AE8" i="9"/>
  <c r="AF9" i="9"/>
  <c r="Z11" i="9"/>
  <c r="G6" i="9"/>
  <c r="H7" i="9"/>
  <c r="B9" i="9"/>
  <c r="C10" i="9"/>
  <c r="D11" i="9"/>
  <c r="L6" i="9"/>
  <c r="M7" i="9"/>
  <c r="N8" i="9"/>
  <c r="O9" i="9"/>
  <c r="P10" i="9"/>
  <c r="H6" i="9"/>
  <c r="B8" i="9"/>
  <c r="C9" i="9"/>
  <c r="D10" i="9"/>
  <c r="E11" i="9"/>
  <c r="M6" i="9"/>
  <c r="N7" i="9"/>
  <c r="O8" i="9"/>
  <c r="P9" i="9"/>
  <c r="J11" i="9"/>
  <c r="R6" i="9"/>
  <c r="S7" i="9"/>
  <c r="T8" i="9"/>
  <c r="U9" i="9"/>
  <c r="V10" i="9"/>
  <c r="W11" i="9"/>
  <c r="AE6" i="9"/>
  <c r="AF7" i="9"/>
  <c r="Z9" i="9"/>
  <c r="AA10" i="9"/>
  <c r="AB11" i="9"/>
  <c r="Z7" i="9"/>
  <c r="AA8" i="9"/>
  <c r="AB9" i="9"/>
  <c r="AC10" i="9"/>
  <c r="AD11" i="9"/>
  <c r="B7" i="9"/>
  <c r="D9" i="9"/>
  <c r="F11" i="9"/>
  <c r="O7" i="9"/>
  <c r="J10" i="9"/>
  <c r="S6" i="9"/>
  <c r="U8" i="9"/>
  <c r="W10" i="9"/>
  <c r="AF6" i="9"/>
  <c r="AA9" i="9"/>
  <c r="AC11" i="9"/>
  <c r="B6" i="9"/>
  <c r="C7" i="9"/>
  <c r="D8" i="9"/>
  <c r="E9" i="9"/>
  <c r="F10" i="9"/>
  <c r="G11" i="9"/>
  <c r="O6" i="9"/>
  <c r="P7" i="9"/>
  <c r="J9" i="9"/>
  <c r="K10" i="9"/>
  <c r="L11" i="9"/>
  <c r="T6" i="9"/>
  <c r="U7" i="9"/>
  <c r="V8" i="9"/>
  <c r="W9" i="9"/>
  <c r="X10" i="9"/>
  <c r="C6" i="9"/>
  <c r="D7" i="9"/>
  <c r="E8" i="9"/>
  <c r="F9" i="9"/>
  <c r="G10" i="9"/>
  <c r="H11" i="9"/>
  <c r="P6" i="9"/>
  <c r="J8" i="9"/>
  <c r="K9" i="9"/>
  <c r="L10" i="9"/>
  <c r="U6" i="9"/>
  <c r="V7" i="9"/>
  <c r="W8" i="9"/>
  <c r="X9" i="9"/>
  <c r="Z6" i="9"/>
  <c r="AA7" i="9"/>
  <c r="AB8" i="9"/>
  <c r="AC9" i="9"/>
  <c r="AD10" i="9"/>
  <c r="D6" i="9"/>
  <c r="E7" i="9"/>
  <c r="F8" i="9"/>
  <c r="G9" i="9"/>
  <c r="D5" i="14" l="1"/>
  <c r="F5" i="14" s="1"/>
  <c r="F3" i="14"/>
  <c r="F2" i="14"/>
  <c r="G2" i="14" s="1"/>
  <c r="G3" i="14" s="1"/>
  <c r="G4" i="14" s="1"/>
  <c r="G5" i="14" l="1"/>
</calcChain>
</file>

<file path=xl/sharedStrings.xml><?xml version="1.0" encoding="utf-8"?>
<sst xmlns="http://schemas.openxmlformats.org/spreadsheetml/2006/main" count="731" uniqueCount="377">
  <si>
    <t>Aha</t>
  </si>
  <si>
    <t>Sen</t>
  </si>
  <si>
    <t>Sel</t>
  </si>
  <si>
    <t>Rab</t>
  </si>
  <si>
    <t>Kam</t>
  </si>
  <si>
    <t>Jum</t>
  </si>
  <si>
    <t>Sab</t>
  </si>
  <si>
    <t>HK : 31</t>
  </si>
  <si>
    <t>HE : 26</t>
  </si>
  <si>
    <t>HK : 30</t>
  </si>
  <si>
    <t>HE : 24</t>
  </si>
  <si>
    <t>Maulid Nabi Muhammad SAW</t>
  </si>
  <si>
    <t>HE : 23</t>
  </si>
  <si>
    <t>HE : 20</t>
  </si>
  <si>
    <t>HE : 17</t>
  </si>
  <si>
    <t>Hari pertama masuk madrasah TP 2023/2024</t>
  </si>
  <si>
    <t>Rentang waktu MPLM</t>
  </si>
  <si>
    <t>Camping</t>
  </si>
  <si>
    <t>Libur Awal Ramadhan</t>
  </si>
  <si>
    <t>Libur Triwulan</t>
  </si>
  <si>
    <t>Bagi Raport</t>
  </si>
  <si>
    <t>Dauroh Pelajaran Umum</t>
  </si>
  <si>
    <t>Libur Semester Ganjil</t>
  </si>
  <si>
    <t>Remedi dan Class Meetting</t>
  </si>
  <si>
    <t>Hari pertama masuk Semester Genap</t>
  </si>
  <si>
    <t>Dauroh Tahfidz 2</t>
  </si>
  <si>
    <t>Dauroh Tahfidz 1</t>
  </si>
  <si>
    <t>Libur Ramadhan &amp; Idul Fitri</t>
  </si>
  <si>
    <t>Ujian Semeter Ganjil</t>
  </si>
  <si>
    <t>Libur Akhir Semester</t>
  </si>
  <si>
    <t>NO</t>
  </si>
  <si>
    <t>Ustzh. Marlina</t>
  </si>
  <si>
    <t>Ustzh. Murni Astuti</t>
  </si>
  <si>
    <t>Bendahara</t>
  </si>
  <si>
    <t>Ust. Zain</t>
  </si>
  <si>
    <t>Ust Zain</t>
  </si>
  <si>
    <t>P</t>
  </si>
  <si>
    <t>L</t>
  </si>
  <si>
    <t>JK</t>
  </si>
  <si>
    <t xml:space="preserve">Nama </t>
  </si>
  <si>
    <t>No</t>
  </si>
  <si>
    <t>Marhalah : 'Ula</t>
  </si>
  <si>
    <t>Ust Iman</t>
  </si>
  <si>
    <t>Ust Rezky</t>
  </si>
  <si>
    <t>Anggota</t>
  </si>
  <si>
    <t>Ustzh Fitri</t>
  </si>
  <si>
    <t>Ust Latief</t>
  </si>
  <si>
    <t>Sekretaris</t>
  </si>
  <si>
    <t>Ketua</t>
  </si>
  <si>
    <t>Pelepasan Santri</t>
  </si>
  <si>
    <t>Ustzh. Fitri</t>
  </si>
  <si>
    <t>Ust. Wahidi</t>
  </si>
  <si>
    <t>Kunjungan Santri</t>
  </si>
  <si>
    <t>Ust. Ibrahim</t>
  </si>
  <si>
    <t>POS (Pertemuan Orangtua Santri)</t>
  </si>
  <si>
    <t>Konsumsi K2 + K3</t>
  </si>
  <si>
    <t>Konsumsi K1</t>
  </si>
  <si>
    <t>Ust Zaky</t>
  </si>
  <si>
    <t>Ust Wahidi</t>
  </si>
  <si>
    <t>Ust Chairid</t>
  </si>
  <si>
    <t>UJIAN DINIYAH MADRASAH</t>
  </si>
  <si>
    <t>Ust Iskandar</t>
  </si>
  <si>
    <t>Ustz Latief</t>
  </si>
  <si>
    <t>Ustz Rezky A</t>
  </si>
  <si>
    <t>Ust Miftahul Hadi</t>
  </si>
  <si>
    <t xml:space="preserve">Sekretaris </t>
  </si>
  <si>
    <t>UJIAN QUR'AN</t>
  </si>
  <si>
    <t>Ust. Zaki</t>
  </si>
  <si>
    <t>Ust. Latief</t>
  </si>
  <si>
    <t>Ust. Imanudin</t>
  </si>
  <si>
    <t xml:space="preserve">MOS </t>
  </si>
  <si>
    <t xml:space="preserve"> </t>
  </si>
  <si>
    <t>Tim Daftar Ulang</t>
  </si>
  <si>
    <t>Tim Tes</t>
  </si>
  <si>
    <t>Publikasi</t>
  </si>
  <si>
    <t>PSB (Penerimaan Santri Baru</t>
  </si>
  <si>
    <t>NAMA USTADZ/AH</t>
  </si>
  <si>
    <t>AMANAH</t>
  </si>
  <si>
    <t>KEPANITIAAN</t>
  </si>
  <si>
    <t>PEMBAGIAN TUGAS KEPANITIAAN</t>
  </si>
  <si>
    <t>Camping dan Calssmeeting</t>
  </si>
  <si>
    <t>MZ = Muhammad Zaini (Komputer)</t>
  </si>
  <si>
    <t>MH = Miftahul Hadi (Adab)</t>
  </si>
  <si>
    <t>CD = Chairid Daha (Shiroh)</t>
  </si>
  <si>
    <t>WRA = Wahidi Rahman Al Anshari (fiqh)</t>
  </si>
  <si>
    <t>Jum'at 07.30-10.20</t>
  </si>
  <si>
    <t>AI = Andi Iskandar (Hadits)</t>
  </si>
  <si>
    <t>Rabu- Kamis 07.30 - 12.00</t>
  </si>
  <si>
    <t>Ustadz Rezky</t>
  </si>
  <si>
    <t>Rabu - Kamis 11.00-12.00</t>
  </si>
  <si>
    <t>Ustadz Imanuddin</t>
  </si>
  <si>
    <t>07.30 - 12.00</t>
  </si>
  <si>
    <t>08.40 - 09.40</t>
  </si>
  <si>
    <t xml:space="preserve">Senin - Kamis </t>
  </si>
  <si>
    <t>07.30 - 08.30</t>
  </si>
  <si>
    <t xml:space="preserve"> Ustadz Wahidi</t>
  </si>
  <si>
    <t>Kamis 07. 30 - 12.00</t>
  </si>
  <si>
    <t>Rabu 07.30 - 12.00</t>
  </si>
  <si>
    <t>Senin 11.00 - 12.00</t>
  </si>
  <si>
    <t xml:space="preserve"> Ustadz Iskandar</t>
  </si>
  <si>
    <t>Sabtu</t>
  </si>
  <si>
    <t>Jum'at</t>
  </si>
  <si>
    <t>Kamis</t>
  </si>
  <si>
    <t>Rabu</t>
  </si>
  <si>
    <t>Selasa</t>
  </si>
  <si>
    <t>Senin</t>
  </si>
  <si>
    <t>Pukul</t>
  </si>
  <si>
    <t>Hari/Kelas</t>
  </si>
  <si>
    <t>Dauroh Tahfidz 3</t>
  </si>
  <si>
    <t>Rapat Koordinasi Bulanan</t>
  </si>
  <si>
    <t>Renang Putri</t>
  </si>
  <si>
    <t>Renang Putra</t>
  </si>
  <si>
    <t>Marhalah : Tsaniyah</t>
  </si>
  <si>
    <t>Sema'an ke Masjid/Musholla sekitar</t>
  </si>
  <si>
    <t>Sima'an/Tasmi'an</t>
  </si>
  <si>
    <t>13.20-14.20</t>
  </si>
  <si>
    <t>Tahsin = Tim tahsin(Halaqoh)</t>
  </si>
  <si>
    <t>pertemuan</t>
  </si>
  <si>
    <t>banyak pertemuan per pekan</t>
  </si>
  <si>
    <t>lama pekan</t>
  </si>
  <si>
    <t>lama bulan</t>
  </si>
  <si>
    <t>total (bulan)</t>
  </si>
  <si>
    <t>dasar</t>
  </si>
  <si>
    <t>tengah</t>
  </si>
  <si>
    <t>siap</t>
  </si>
  <si>
    <t>lanjut</t>
  </si>
  <si>
    <t>Schedule</t>
  </si>
  <si>
    <t>12</t>
  </si>
  <si>
    <t>11</t>
  </si>
  <si>
    <t>Rapat penempatan (habis Dzuhur)</t>
  </si>
  <si>
    <t>Rapat metode Al-Birr ft Al-Haqq ft Ummi (habis Dzuhur)</t>
  </si>
  <si>
    <t>10</t>
  </si>
  <si>
    <t>Ujian kelas 2 &amp; 3 putra (Habis Dzuhur)</t>
  </si>
  <si>
    <t>Ujian kelas 2 &amp; 3 putri (jam 8)</t>
  </si>
  <si>
    <t>Ujian kelas 1 putra putri (Habis Ashar)</t>
  </si>
  <si>
    <t>Musyrifah</t>
  </si>
  <si>
    <t>Tim Dapur</t>
  </si>
  <si>
    <t>HL : 16</t>
  </si>
  <si>
    <t>HE : 15</t>
  </si>
  <si>
    <t>HL : 5</t>
  </si>
  <si>
    <t>HL : 6</t>
  </si>
  <si>
    <t>HL : 4</t>
  </si>
  <si>
    <t>HE : 27</t>
  </si>
  <si>
    <t>HL : 14</t>
  </si>
  <si>
    <t>HL : 7</t>
  </si>
  <si>
    <t>HK : 28</t>
  </si>
  <si>
    <t>HL : 12</t>
  </si>
  <si>
    <t>HE : 19</t>
  </si>
  <si>
    <t>HL : 10</t>
  </si>
  <si>
    <t>HE : 16</t>
  </si>
  <si>
    <t>KALENDER AKADEMIK MADRASAL AL QUR'AN BAITUL IZZAH TAHUN PELAJARAN 2024/2025</t>
  </si>
  <si>
    <t>15-17</t>
  </si>
  <si>
    <t>Rapat Kesantrian dan Tahfidz</t>
  </si>
  <si>
    <t xml:space="preserve">HUT Kemerdekaan RI </t>
  </si>
  <si>
    <t>14-18</t>
  </si>
  <si>
    <t>2-7</t>
  </si>
  <si>
    <t>21</t>
  </si>
  <si>
    <t>Ustzh Marwa</t>
  </si>
  <si>
    <t>23-31</t>
  </si>
  <si>
    <t>Start PSB (Flier, Media dll sudah jalan)</t>
  </si>
  <si>
    <t>Fatih Alfaizi Aufa Ramadhan</t>
  </si>
  <si>
    <t>Muhammad Alvin Abdurrahman</t>
  </si>
  <si>
    <t>Muhammad Sano Darussalam Ro</t>
  </si>
  <si>
    <t>Niswah adzkiyah</t>
  </si>
  <si>
    <t>Abdullah Umar Al-Hummam</t>
  </si>
  <si>
    <t>Khoirunnisa Ahlam</t>
  </si>
  <si>
    <t>Dhafia Ramadhiani Azzahra</t>
  </si>
  <si>
    <t>Sabila farrah</t>
  </si>
  <si>
    <t>Afkar Mukayyis Al Wahidi</t>
  </si>
  <si>
    <t>Umar Abdurrosyid Assariy</t>
  </si>
  <si>
    <t>KHALID FAYYADH AL-MUZZAMMIL</t>
  </si>
  <si>
    <t>Thoriq Mubarok Muttaqin</t>
  </si>
  <si>
    <t>Ammar Azzamul Haq</t>
  </si>
  <si>
    <t>MUHAMMAD RIZKY SUHAILI</t>
  </si>
  <si>
    <t>Muhammad Kamil</t>
  </si>
  <si>
    <t>7-19</t>
  </si>
  <si>
    <t>Isra Mi'raj</t>
  </si>
  <si>
    <t>27-28</t>
  </si>
  <si>
    <t>3-15</t>
  </si>
  <si>
    <t>Futsal Putra</t>
  </si>
  <si>
    <t>Libur 10 terakhir Ramadhan</t>
  </si>
  <si>
    <t>1-5</t>
  </si>
  <si>
    <t>5-17</t>
  </si>
  <si>
    <t>19-24</t>
  </si>
  <si>
    <t>26-31</t>
  </si>
  <si>
    <t>Ujian Semester</t>
  </si>
  <si>
    <t>Remedial &amp; Class Meeting</t>
  </si>
  <si>
    <t>Olah Nilai</t>
  </si>
  <si>
    <t>16-17</t>
  </si>
  <si>
    <t>Ust Hanif</t>
  </si>
  <si>
    <t>Tim Selia</t>
  </si>
  <si>
    <t>AHMAD ABDULLAH KHOLISH</t>
  </si>
  <si>
    <t>AIKO ZAHWA SYAROFANA</t>
  </si>
  <si>
    <t>AISYAH MUWAHHIDAH</t>
  </si>
  <si>
    <t>AISYAH PUTRI AZ ZAHRA</t>
  </si>
  <si>
    <t>AMILA NAHWAL HAQ</t>
  </si>
  <si>
    <t>AUDREY CALLYSTA FATIH</t>
  </si>
  <si>
    <t>HANIF SYAIFULLOH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</si>
  <si>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</si>
  <si>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</si>
  <si>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</si>
  <si>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</si>
  <si>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</si>
  <si>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</si>
  <si>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NADIL AL FAYYADH</t>
  </si>
  <si>
    <t>SYIFA SALSABILA</t>
  </si>
  <si>
    <t>WILDAN AKHRAM PRATAMA</t>
  </si>
  <si>
    <t>WILDHAN HABIBI ARIYADI</t>
  </si>
  <si>
    <t>ZIDANE AL ASYTAR SYAKUR</t>
  </si>
  <si>
    <t>ZUFAR LAHID ROYYAN ASHIDIK</t>
  </si>
  <si>
    <t>P = 5</t>
  </si>
  <si>
    <t>Perkiraan Ujian SKB</t>
  </si>
  <si>
    <t>P = 7</t>
  </si>
  <si>
    <t>SERAGAM ASATIDZAH MADRASAH BAITUL IZZAH</t>
  </si>
  <si>
    <t xml:space="preserve">SENIN </t>
  </si>
  <si>
    <t>SELASA</t>
  </si>
  <si>
    <t xml:space="preserve">RABU </t>
  </si>
  <si>
    <t xml:space="preserve">KAMIS </t>
  </si>
  <si>
    <t xml:space="preserve">JUM'AT </t>
  </si>
  <si>
    <t xml:space="preserve">SABTU </t>
  </si>
  <si>
    <t>USTADZ</t>
  </si>
  <si>
    <t>USTADZAH</t>
  </si>
  <si>
    <t>MERAH</t>
  </si>
  <si>
    <t>HIJAU</t>
  </si>
  <si>
    <t>GAMIS BIRU</t>
  </si>
  <si>
    <t>ABU-ABU</t>
  </si>
  <si>
    <t>BEBAS</t>
  </si>
  <si>
    <t>COKLAT</t>
  </si>
  <si>
    <t>Rapat Upgrading</t>
  </si>
  <si>
    <t>Rapat Raport</t>
  </si>
  <si>
    <t>6-7</t>
  </si>
  <si>
    <t>9-14</t>
  </si>
  <si>
    <t>16-20</t>
  </si>
  <si>
    <t>Qurban</t>
  </si>
  <si>
    <t>Haura Halwa Jannati</t>
  </si>
  <si>
    <t>HITAM</t>
  </si>
  <si>
    <t>2-4</t>
  </si>
  <si>
    <t>TAHSIN (TIM)</t>
  </si>
  <si>
    <t xml:space="preserve">08.30 - 08.40 </t>
  </si>
  <si>
    <t>ISTIRAHAT</t>
  </si>
  <si>
    <t>AI (Hadis)</t>
  </si>
  <si>
    <t>IM (ABY)</t>
  </si>
  <si>
    <t>WRA (Fiqh)</t>
  </si>
  <si>
    <t>CD (Shiroh)</t>
  </si>
  <si>
    <t>IM (QOWA'ID)</t>
  </si>
  <si>
    <t>17.00 -17.45</t>
  </si>
  <si>
    <t>MZ (PRAKTIKUM KOMPUTER)</t>
  </si>
  <si>
    <t>RA</t>
  </si>
  <si>
    <t>TAHSIN = (REZKY ADISTIA DAN TIM)</t>
  </si>
  <si>
    <t>IM = Imanuddin (B. Arab = ABY &amp; QOWAID)</t>
  </si>
  <si>
    <t>JADWAL MATA PELAJARAN DINIYAH MABAIZ   2025/2026</t>
  </si>
  <si>
    <t>: Pelepasan Santri Saadis</t>
  </si>
  <si>
    <t>: Libur Semester Ganjil 2025</t>
  </si>
  <si>
    <t>21 - 4 (2027)</t>
  </si>
  <si>
    <t>: Pembagian Raport Semester Genap</t>
  </si>
  <si>
    <t>: Pembagian Raport Semester Ganjil</t>
  </si>
  <si>
    <t>: Olah fisik/Classmeeting</t>
  </si>
  <si>
    <t>11-13</t>
  </si>
  <si>
    <t>: Rapat Evaluasi Raport</t>
  </si>
  <si>
    <t>: Rapat Evaluasi Semester Ganjil (Raport)</t>
  </si>
  <si>
    <t>: Ujiian Susulan/Remidi</t>
  </si>
  <si>
    <t xml:space="preserve">9 - 13 </t>
  </si>
  <si>
    <t>: Tasmi'an Langgar/Mushalla sekitar</t>
  </si>
  <si>
    <t>: UJian Semester Genap</t>
  </si>
  <si>
    <t>1-6</t>
  </si>
  <si>
    <t>: Perkiraan Rentang Ujian Kesetaraan/Paket A</t>
  </si>
  <si>
    <t>13-18</t>
  </si>
  <si>
    <t>8-12</t>
  </si>
  <si>
    <t>: Daurah Satu</t>
  </si>
  <si>
    <t>5 - 18</t>
  </si>
  <si>
    <t>: RAKOR MABAIZ</t>
  </si>
  <si>
    <t>: Rapat Kesantrian</t>
  </si>
  <si>
    <t>: MID Semester Genap</t>
  </si>
  <si>
    <t>23-28</t>
  </si>
  <si>
    <t>: Ujian Semester Ganjil</t>
  </si>
  <si>
    <t>: HUT  Kemerdekaan RI</t>
  </si>
  <si>
    <t>16 Juni Awal bulan Muharram 1448</t>
  </si>
  <si>
    <t>: Libur Awal Ramadhan</t>
  </si>
  <si>
    <t>23 Oktober Awal Bulan Jumadil Awwal</t>
  </si>
  <si>
    <t>25 Agustus  Awal Bulan Rabi'ul Awal</t>
  </si>
  <si>
    <t>PEKAN EFEKTIF = 0</t>
  </si>
  <si>
    <t>18 April Awal bulan Dzulqaidah</t>
  </si>
  <si>
    <t>: Dauroh Tahfidz 2</t>
  </si>
  <si>
    <t>1-14</t>
  </si>
  <si>
    <t>21 Desember Awal Bulan Rajab</t>
  </si>
  <si>
    <t>PEKAN EFEKTIF = 3</t>
  </si>
  <si>
    <t>PEKAN EFEKTIF = 4</t>
  </si>
  <si>
    <t xml:space="preserve"> Maret  Awal bulan Ramadhan</t>
  </si>
  <si>
    <t>Ahad</t>
  </si>
  <si>
    <t>JUNI 2026 (Dzulhijjah 1447 - Muharram 1448)</t>
  </si>
  <si>
    <t>APRIL  2026 (Syawal - Dzulqaidah 1447)</t>
  </si>
  <si>
    <t>PEBRUARI 2026 (Sya'ban - Ramadhan 1447)</t>
  </si>
  <si>
    <t>DESEMBER 2025 (Jumadil Akhir - Rajab 1447)</t>
  </si>
  <si>
    <t>OKTOBER 2025 (Rabi'ul Akhir-Jumadil Awwal 1447)</t>
  </si>
  <si>
    <t>AGUSTUS 2025 (Safar - Rabiul Awal 1447)</t>
  </si>
  <si>
    <t>: Hari Raya Idul Adha</t>
  </si>
  <si>
    <t>: Libur Dzulhijjah 1447</t>
  </si>
  <si>
    <t>: Hari Raya Idul Fitri 1447</t>
  </si>
  <si>
    <t>20 -21</t>
  </si>
  <si>
    <t>: Start PSB 2026/2027</t>
  </si>
  <si>
    <t>: Awal KBM 2025/2026</t>
  </si>
  <si>
    <t>: Dauroh Tahfidz 3</t>
  </si>
  <si>
    <t>4-16</t>
  </si>
  <si>
    <t>: Libur Ramadhan &amp; Idul Fitri</t>
  </si>
  <si>
    <t>: Camping Mabaiz</t>
  </si>
  <si>
    <t>: MID Semester Ganjil</t>
  </si>
  <si>
    <t>: MRS (Masa Re-Orientasi Santri)</t>
  </si>
  <si>
    <t>15-16</t>
  </si>
  <si>
    <t>: Rakor Mabaiz</t>
  </si>
  <si>
    <t>:  Isra' Mi'raj 1447 H</t>
  </si>
  <si>
    <t>: Awal masuk semester genap</t>
  </si>
  <si>
    <t>: MPLM (Masa Pengenalan Lingkugan Mabaiz)</t>
  </si>
  <si>
    <t>: POS MABAIZ</t>
  </si>
  <si>
    <t>28 Mei Awal bulan Dzulhijjah</t>
  </si>
  <si>
    <t>20 Maret  Awal bulan Syawal</t>
  </si>
  <si>
    <t>20 Januari  Awal bulan Sya'ban</t>
  </si>
  <si>
    <t>22 Nopember Awal Bulan Jumadil Akhir</t>
  </si>
  <si>
    <t xml:space="preserve">: Libur Nasional Maulid Nabi </t>
  </si>
  <si>
    <t>: Rapat Kerja Tahunan</t>
  </si>
  <si>
    <t>PEKAN EFEKTIF = 2</t>
  </si>
  <si>
    <t>PEKAN EFEKTIF = 1</t>
  </si>
  <si>
    <t>23 September  Awal Bulan Rabi'ul Akhir</t>
  </si>
  <si>
    <t>26 Juli Awal bulan Shafar</t>
  </si>
  <si>
    <t>PEKAN EFEKTIF =4</t>
  </si>
  <si>
    <t>MEI 2026 (Dzulqaidah - Dzulhijjah 1447)</t>
  </si>
  <si>
    <t>MARET 2026 (Ramadhan - Syawal 1447)</t>
  </si>
  <si>
    <t>JANUARI 2026 (Rajab - Sya'ban 1447)</t>
  </si>
  <si>
    <t>NOPEMBER 2025 (Jumadil Awal-Jumadil Akhir 1447)</t>
  </si>
  <si>
    <t>SEPTEMBER 2025 (Rabi'ul Awal-Rabiul Akhir 1447)</t>
  </si>
  <si>
    <t>JULI 2025 (Muharam - Safar 1447)</t>
  </si>
  <si>
    <t>KALENDER PENDIDIKAN MADRASAH BAITUL IZZAH 2025/2026</t>
  </si>
  <si>
    <t>Wali Kelas : Ust Abdul Latip, S.Pd</t>
  </si>
  <si>
    <t>Wali Kelas : Ust Muhammad Zaini, S.Psi</t>
  </si>
  <si>
    <t>PEMBAGIAN ROMBEL DAN WALI KELAS 2025/2026</t>
  </si>
  <si>
    <t>IBRAHIM KHALIL</t>
  </si>
  <si>
    <t>MUHAMMAD RIZKY</t>
  </si>
  <si>
    <t>L  = 12</t>
  </si>
  <si>
    <t>Ust Imanudin</t>
  </si>
  <si>
    <t>TAHUN PELAJARAN 2025/2026</t>
  </si>
  <si>
    <t>Ust Rezky Adistiya</t>
  </si>
  <si>
    <t>Ustadz Latip</t>
  </si>
  <si>
    <t>Ust Latip</t>
  </si>
  <si>
    <t>MC Mabaiz</t>
  </si>
  <si>
    <t>Ust Zaky Azhar</t>
  </si>
  <si>
    <t>Sekretaris 1</t>
  </si>
  <si>
    <t>Sekretaris 2</t>
  </si>
  <si>
    <t>Muhammad Zaini</t>
  </si>
  <si>
    <t>: '19 -21 Olah raga santri</t>
  </si>
  <si>
    <t>22-27</t>
  </si>
  <si>
    <t>29-30</t>
  </si>
  <si>
    <t>: Libur Triwulan Santri</t>
  </si>
  <si>
    <t>: Pembagian Hasil Mid</t>
  </si>
  <si>
    <t xml:space="preserve">: RAKOR MABAIZ </t>
  </si>
  <si>
    <t>5-7</t>
  </si>
  <si>
    <t>: UPGRADING DAN RAKOR MABAIZ</t>
  </si>
  <si>
    <t>: Olah raga santri</t>
  </si>
  <si>
    <t>19-21</t>
  </si>
  <si>
    <t>9-29</t>
  </si>
  <si>
    <t>27-30</t>
  </si>
  <si>
    <t>: Kegiatan PSB (Tes, Wawancara dan daftar ulang)</t>
  </si>
  <si>
    <t>Marhalah : Tsalisah</t>
  </si>
  <si>
    <t>Wali Kelas : Ust Imanuddin, Lc, ME</t>
  </si>
  <si>
    <t>L  = 7</t>
  </si>
  <si>
    <t>P = 9</t>
  </si>
  <si>
    <t>Total Santri Putra</t>
  </si>
  <si>
    <t>Total Santri Putri</t>
  </si>
  <si>
    <t>Total santri TP 2025-2026</t>
  </si>
  <si>
    <t>Ustadz Zaky</t>
  </si>
  <si>
    <t>Ustdzh Nur Rahmah</t>
  </si>
  <si>
    <t>Ustzdh Devi</t>
  </si>
  <si>
    <t>: Pembukaan Dauroh mengundang asatidz eksternal</t>
  </si>
  <si>
    <t>L = 13</t>
  </si>
  <si>
    <t>Ustzh Eka Devi</t>
  </si>
  <si>
    <t>Ust Yudha</t>
  </si>
  <si>
    <t>Ustadz Yudha</t>
  </si>
  <si>
    <t>YD = Yudha</t>
  </si>
  <si>
    <t>YD (Adab)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</si>
</sst>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mmmm\ yyyy;@"/>
    <numFmt numFmtId="165" formatCode="d"/>
  </numFmts>
  <fonts count="10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ahnschrift"/>
      <family val="2"/>
    </font>
    <font>
      <b/>
      <i/>
      <sz val="24"/>
      <color theme="1"/>
      <name val="Calibri"/>
      <family val="2"/>
      <scheme val="minor"/>
    </font>
    <font>
      <sz val="16"/>
      <color theme="1"/>
      <name val="Bahnschrift Condensed"/>
      <family val="2"/>
    </font>
    <font>
      <b/>
      <sz val="24"/>
      <color theme="1"/>
      <name val="Bahnschrift Light SemiCondensed"/>
      <family val="2"/>
    </font>
    <font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24"/>
      <color theme="1" tint="0.14999847407452621"/>
      <name val="Gabriola"/>
      <family val="5"/>
    </font>
    <font>
      <sz val="10"/>
      <color rgb="FFFFFF00"/>
      <name val="Calibri"/>
      <family val="2"/>
      <scheme val="minor"/>
    </font>
    <font>
      <b/>
      <sz val="11"/>
      <name val="Arial"/>
      <family val="2"/>
    </font>
    <font>
      <sz val="11"/>
      <color rgb="FFFFFF66"/>
      <name val="Calibri"/>
      <family val="2"/>
      <scheme val="minor"/>
    </font>
    <font>
      <sz val="11"/>
      <color rgb="FF000000"/>
      <name val="Tahoma"/>
      <family val="2"/>
    </font>
    <font>
      <sz val="22"/>
      <color theme="1"/>
      <name val="Bahnschrift SemiBold"/>
      <family val="2"/>
    </font>
    <font>
      <b/>
      <sz val="8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charset val="134"/>
      <scheme val="minor"/>
    </font>
    <font>
      <sz val="11"/>
      <color rgb="FF000000"/>
      <name val="Times New Roman"/>
      <charset val="204"/>
    </font>
    <font>
      <sz val="16"/>
      <color rgb="FF000000"/>
      <name val="Times New Roman"/>
      <charset val="204"/>
    </font>
    <font>
      <sz val="10"/>
      <color rgb="FF000000"/>
      <name val="Times New Roman"/>
      <charset val="204"/>
    </font>
    <font>
      <sz val="12"/>
      <color rgb="FF000000"/>
      <name val="Times New Roman"/>
      <charset val="204"/>
    </font>
    <font>
      <sz val="11"/>
      <color rgb="FF00000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charset val="134"/>
      <scheme val="minor"/>
    </font>
    <font>
      <b/>
      <sz val="12"/>
      <color rgb="FF666666"/>
      <name val="Times New Roman"/>
      <charset val="134"/>
    </font>
    <font>
      <sz val="12"/>
      <color theme="1"/>
      <name val="Times New Roman"/>
      <family val="1"/>
    </font>
    <font>
      <sz val="16"/>
      <name val="Times New Roman"/>
      <charset val="134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6"/>
      <name val="Times New Roman"/>
      <family val="1"/>
    </font>
    <font>
      <sz val="12"/>
      <name val="Times New Roman"/>
      <charset val="134"/>
    </font>
    <font>
      <sz val="10"/>
      <name val="Arial MT"/>
      <charset val="134"/>
    </font>
    <font>
      <sz val="12"/>
      <color rgb="FFFF0000"/>
      <name val="Times New Roman"/>
      <charset val="204"/>
    </font>
    <font>
      <b/>
      <sz val="12"/>
      <color rgb="FFFF0000"/>
      <name val="Times New Roman"/>
      <charset val="204"/>
    </font>
    <font>
      <sz val="16"/>
      <name val="Times New Roman"/>
      <charset val="204"/>
    </font>
    <font>
      <sz val="11"/>
      <name val="Arial MT"/>
      <charset val="134"/>
    </font>
    <font>
      <sz val="11"/>
      <name val="Times New Roman"/>
      <charset val="134"/>
    </font>
    <font>
      <sz val="8"/>
      <name val="Arial MT"/>
      <charset val="134"/>
    </font>
    <font>
      <sz val="11"/>
      <name val="Times New Roman"/>
      <charset val="204"/>
    </font>
    <font>
      <sz val="10"/>
      <name val="Times New Roman"/>
      <charset val="134"/>
    </font>
    <font>
      <sz val="10"/>
      <name val="Times New Roman"/>
      <charset val="204"/>
    </font>
    <font>
      <sz val="16"/>
      <name val="Arial MT"/>
      <charset val="134"/>
    </font>
    <font>
      <sz val="16"/>
      <color theme="0"/>
      <name val="Times New Roman"/>
      <charset val="204"/>
    </font>
    <font>
      <sz val="10"/>
      <color rgb="FFFF0000"/>
      <name val="Times New Roman"/>
      <charset val="204"/>
    </font>
    <font>
      <sz val="10"/>
      <color rgb="FFFF0000"/>
      <name val="Times New Roman"/>
      <charset val="134"/>
    </font>
    <font>
      <sz val="16"/>
      <color rgb="FFFF0000"/>
      <name val="Times New Roman"/>
      <charset val="134"/>
    </font>
    <font>
      <b/>
      <sz val="10"/>
      <name val="Times New Roman"/>
      <charset val="134"/>
    </font>
    <font>
      <b/>
      <sz val="10"/>
      <name val="Times New Roman"/>
      <charset val="204"/>
    </font>
    <font>
      <b/>
      <sz val="16"/>
      <name val="Times New Roman"/>
      <charset val="204"/>
    </font>
    <font>
      <sz val="16"/>
      <color rgb="FFFF0000"/>
      <name val="Times New Roman"/>
      <charset val="204"/>
    </font>
    <font>
      <sz val="10"/>
      <name val="Times New Roman"/>
      <family val="1"/>
    </font>
    <font>
      <b/>
      <sz val="12"/>
      <name val="Times New Roman"/>
      <charset val="134"/>
    </font>
    <font>
      <sz val="14"/>
      <color rgb="FF000000"/>
      <name val="Times New Roman"/>
      <family val="1"/>
    </font>
    <font>
      <sz val="12"/>
      <color rgb="FFCCCCCC"/>
      <name val="Arial MT"/>
      <charset val="134"/>
    </font>
    <font>
      <sz val="16"/>
      <color rgb="FF006400"/>
      <name val="Arial MT"/>
      <charset val="134"/>
    </font>
    <font>
      <sz val="14"/>
      <color rgb="FF006400"/>
      <name val="Arial MT"/>
      <charset val="134"/>
    </font>
    <font>
      <sz val="12"/>
      <color rgb="FF006400"/>
      <name val="Arial MT"/>
      <charset val="134"/>
    </font>
    <font>
      <sz val="14"/>
      <name val="Times New Roman"/>
      <charset val="134"/>
    </font>
    <font>
      <b/>
      <sz val="11"/>
      <color rgb="FFFF0000"/>
      <name val="Times New Roman"/>
      <charset val="204"/>
    </font>
    <font>
      <sz val="10"/>
      <color rgb="FFFF0000"/>
      <name val="Arial MT"/>
      <charset val="134"/>
    </font>
    <font>
      <sz val="12"/>
      <name val="Arial MT"/>
      <charset val="134"/>
    </font>
    <font>
      <sz val="9"/>
      <name val="Arial MT"/>
      <charset val="134"/>
    </font>
    <font>
      <sz val="12"/>
      <color rgb="FFFF0000"/>
      <name val="Times New Roman"/>
      <charset val="134"/>
    </font>
    <font>
      <sz val="10"/>
      <color rgb="FF006400"/>
      <name val="Times New Roman"/>
      <charset val="134"/>
    </font>
    <font>
      <b/>
      <sz val="16"/>
      <name val="Times New Roman"/>
      <charset val="134"/>
    </font>
    <font>
      <sz val="16"/>
      <color theme="1"/>
      <name val="Times New Roman"/>
      <charset val="134"/>
    </font>
    <font>
      <sz val="26"/>
      <color rgb="FF000000"/>
      <name val="Times New Roman"/>
      <family val="1"/>
    </font>
    <font>
      <sz val="16"/>
      <color rgb="FFFF0000"/>
      <name val="Times New Roman"/>
      <family val="1"/>
    </font>
    <font>
      <sz val="10"/>
      <color rgb="FFFF0000"/>
      <name val="Times New Roman"/>
      <family val="1"/>
    </font>
    <font>
      <sz val="11"/>
      <name val="Times New Roman"/>
      <family val="1"/>
    </font>
    <font>
      <sz val="14"/>
      <color rgb="FFFF0000"/>
      <name val="Times New Roman"/>
      <family val="1"/>
    </font>
    <font>
      <sz val="16"/>
      <color theme="0"/>
      <name val="Times New Roman"/>
      <family val="1"/>
    </font>
    <font>
      <sz val="16"/>
      <color theme="1"/>
      <name val="Times New Roman"/>
      <family val="1"/>
    </font>
    <font>
      <sz val="10"/>
      <color theme="1"/>
      <name val="Arial MT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FFCCAA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</borders>
  <cellStyleXfs count="5">
    <xf numFmtId="0" fontId="0" fillId="0" borderId="0"/>
    <xf numFmtId="0" fontId="12" fillId="0" borderId="0"/>
    <xf numFmtId="0" fontId="8" fillId="0" borderId="0"/>
    <xf numFmtId="0" fontId="4" fillId="0" borderId="0"/>
    <xf numFmtId="0" fontId="45" fillId="0" borderId="0">
      <alignment vertical="center"/>
    </xf>
  </cellStyleXfs>
  <cellXfs count="599">
    <xf numFmtId="0" fontId="0" fillId="0" borderId="0" xfId="0"/>
    <xf numFmtId="0" fontId="12" fillId="0" borderId="0" xfId="1" applyProtection="1">
      <protection locked="0"/>
    </xf>
    <xf numFmtId="0" fontId="11" fillId="0" borderId="0" xfId="1" applyFont="1" applyProtection="1">
      <protection locked="0"/>
    </xf>
    <xf numFmtId="0" fontId="13" fillId="3" borderId="8" xfId="1" applyFont="1" applyFill="1" applyBorder="1" applyAlignment="1" applyProtection="1">
      <alignment horizontal="center" vertical="center"/>
      <protection locked="0"/>
    </xf>
    <xf numFmtId="0" fontId="9" fillId="3" borderId="9" xfId="1" applyFont="1" applyFill="1" applyBorder="1" applyAlignment="1" applyProtection="1">
      <alignment horizontal="center" vertical="center"/>
      <protection locked="0"/>
    </xf>
    <xf numFmtId="0" fontId="14" fillId="3" borderId="9" xfId="1" applyFont="1" applyFill="1" applyBorder="1" applyAlignment="1" applyProtection="1">
      <alignment horizontal="center" vertical="center"/>
      <protection locked="0"/>
    </xf>
    <xf numFmtId="0" fontId="9" fillId="3" borderId="10" xfId="1" applyFont="1" applyFill="1" applyBorder="1" applyAlignment="1" applyProtection="1">
      <alignment horizontal="center" vertical="center"/>
      <protection locked="0"/>
    </xf>
    <xf numFmtId="0" fontId="13" fillId="0" borderId="8" xfId="1" applyFont="1" applyBorder="1" applyAlignment="1" applyProtection="1">
      <alignment horizontal="center" vertical="center"/>
      <protection locked="0"/>
    </xf>
    <xf numFmtId="0" fontId="9" fillId="0" borderId="9" xfId="1" applyFont="1" applyBorder="1" applyAlignment="1" applyProtection="1">
      <alignment horizontal="center" vertical="center"/>
      <protection locked="0"/>
    </xf>
    <xf numFmtId="0" fontId="14" fillId="0" borderId="9" xfId="1" applyFont="1" applyBorder="1" applyAlignment="1" applyProtection="1">
      <alignment horizontal="center" vertical="center"/>
      <protection locked="0"/>
    </xf>
    <xf numFmtId="0" fontId="9" fillId="0" borderId="10" xfId="1" applyFont="1" applyBorder="1" applyAlignment="1" applyProtection="1">
      <alignment horizontal="center" vertical="center"/>
      <protection locked="0"/>
    </xf>
    <xf numFmtId="165" fontId="10" fillId="2" borderId="1" xfId="1" applyNumberFormat="1" applyFont="1" applyFill="1" applyBorder="1" applyAlignment="1" applyProtection="1">
      <alignment horizontal="center" vertical="center"/>
      <protection locked="0" hidden="1"/>
    </xf>
    <xf numFmtId="0" fontId="15" fillId="0" borderId="0" xfId="1" applyFont="1" applyAlignment="1" applyProtection="1">
      <alignment vertical="center"/>
      <protection locked="0"/>
    </xf>
    <xf numFmtId="0" fontId="13" fillId="0" borderId="18" xfId="1" applyFont="1" applyBorder="1" applyAlignment="1" applyProtection="1">
      <alignment horizontal="center" vertical="center"/>
      <protection locked="0"/>
    </xf>
    <xf numFmtId="0" fontId="9" fillId="0" borderId="3" xfId="1" applyFont="1" applyBorder="1" applyAlignment="1" applyProtection="1">
      <alignment horizontal="center" vertical="center"/>
      <protection locked="0"/>
    </xf>
    <xf numFmtId="0" fontId="14" fillId="0" borderId="3" xfId="1" applyFont="1" applyBorder="1" applyAlignment="1" applyProtection="1">
      <alignment horizontal="center" vertical="center"/>
      <protection locked="0"/>
    </xf>
    <xf numFmtId="0" fontId="9" fillId="0" borderId="19" xfId="1" applyFont="1" applyBorder="1" applyAlignment="1" applyProtection="1">
      <alignment horizontal="center" vertical="center"/>
      <protection locked="0"/>
    </xf>
    <xf numFmtId="0" fontId="13" fillId="3" borderId="18" xfId="1" applyFont="1" applyFill="1" applyBorder="1" applyAlignment="1" applyProtection="1">
      <alignment horizontal="center" vertical="center"/>
      <protection locked="0"/>
    </xf>
    <xf numFmtId="0" fontId="9" fillId="3" borderId="3" xfId="1" applyFont="1" applyFill="1" applyBorder="1" applyAlignment="1" applyProtection="1">
      <alignment horizontal="center" vertical="center"/>
      <protection locked="0"/>
    </xf>
    <xf numFmtId="0" fontId="14" fillId="3" borderId="3" xfId="1" applyFont="1" applyFill="1" applyBorder="1" applyAlignment="1" applyProtection="1">
      <alignment horizontal="center" vertical="center"/>
      <protection locked="0"/>
    </xf>
    <xf numFmtId="0" fontId="9" fillId="3" borderId="19" xfId="1" applyFont="1" applyFill="1" applyBorder="1" applyAlignment="1" applyProtection="1">
      <alignment horizontal="center" vertical="center"/>
      <protection locked="0"/>
    </xf>
    <xf numFmtId="165" fontId="10" fillId="8" borderId="1" xfId="1" applyNumberFormat="1" applyFont="1" applyFill="1" applyBorder="1" applyAlignment="1" applyProtection="1">
      <alignment horizontal="center" vertical="center"/>
      <protection locked="0" hidden="1"/>
    </xf>
    <xf numFmtId="0" fontId="15" fillId="0" borderId="0" xfId="1" applyFont="1" applyAlignment="1" applyProtection="1">
      <alignment horizontal="left" vertical="center"/>
      <protection locked="0"/>
    </xf>
    <xf numFmtId="165" fontId="11" fillId="9" borderId="0" xfId="1" applyNumberFormat="1" applyFont="1" applyFill="1" applyAlignment="1" applyProtection="1">
      <alignment horizontal="center" vertical="center"/>
      <protection locked="0" hidden="1"/>
    </xf>
    <xf numFmtId="165" fontId="11" fillId="6" borderId="0" xfId="1" applyNumberFormat="1" applyFont="1" applyFill="1" applyAlignment="1" applyProtection="1">
      <alignment horizontal="center" vertical="center"/>
      <protection locked="0" hidden="1"/>
    </xf>
    <xf numFmtId="165" fontId="11" fillId="2" borderId="0" xfId="1" applyNumberFormat="1" applyFont="1" applyFill="1" applyAlignment="1" applyProtection="1">
      <alignment horizontal="center" vertical="center"/>
      <protection locked="0" hidden="1"/>
    </xf>
    <xf numFmtId="165" fontId="11" fillId="10" borderId="1" xfId="1" quotePrefix="1" applyNumberFormat="1" applyFont="1" applyFill="1" applyBorder="1" applyAlignment="1" applyProtection="1">
      <alignment horizontal="center" vertical="center"/>
      <protection locked="0" hidden="1"/>
    </xf>
    <xf numFmtId="0" fontId="22" fillId="0" borderId="0" xfId="0" applyFont="1"/>
    <xf numFmtId="165" fontId="10" fillId="2" borderId="0" xfId="1" applyNumberFormat="1" applyFont="1" applyFill="1" applyAlignment="1" applyProtection="1">
      <alignment horizontal="center" vertical="center"/>
      <protection locked="0" hidden="1"/>
    </xf>
    <xf numFmtId="165" fontId="23" fillId="5" borderId="1" xfId="1" quotePrefix="1" applyNumberFormat="1" applyFont="1" applyFill="1" applyBorder="1" applyAlignment="1" applyProtection="1">
      <alignment horizontal="center" vertical="center"/>
      <protection locked="0" hidden="1"/>
    </xf>
    <xf numFmtId="0" fontId="15" fillId="0" borderId="0" xfId="0" applyFont="1"/>
    <xf numFmtId="165" fontId="23" fillId="11" borderId="1" xfId="1" applyNumberFormat="1" applyFont="1" applyFill="1" applyBorder="1" applyAlignment="1" applyProtection="1">
      <alignment horizontal="center" vertical="center"/>
      <protection locked="0" hidden="1"/>
    </xf>
    <xf numFmtId="0" fontId="8" fillId="0" borderId="0" xfId="2"/>
    <xf numFmtId="0" fontId="8" fillId="0" borderId="0" xfId="2" applyAlignment="1">
      <alignment horizontal="center" vertical="center"/>
    </xf>
    <xf numFmtId="0" fontId="25" fillId="0" borderId="0" xfId="2" applyFont="1"/>
    <xf numFmtId="0" fontId="28" fillId="0" borderId="0" xfId="2" applyFont="1"/>
    <xf numFmtId="0" fontId="28" fillId="0" borderId="1" xfId="2" applyFont="1" applyBorder="1" applyAlignment="1">
      <alignment horizontal="center" vertical="center"/>
    </xf>
    <xf numFmtId="0" fontId="28" fillId="0" borderId="1" xfId="2" applyFont="1" applyBorder="1" applyAlignment="1">
      <alignment horizontal="center"/>
    </xf>
    <xf numFmtId="0" fontId="28" fillId="0" borderId="2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/>
    </xf>
    <xf numFmtId="0" fontId="29" fillId="0" borderId="0" xfId="2" applyFont="1" applyAlignment="1">
      <alignment horizontal="center" vertical="center"/>
    </xf>
    <xf numFmtId="0" fontId="29" fillId="13" borderId="9" xfId="2" applyFont="1" applyFill="1" applyBorder="1" applyAlignment="1">
      <alignment horizontal="center" vertical="center"/>
    </xf>
    <xf numFmtId="0" fontId="29" fillId="14" borderId="9" xfId="2" applyFont="1" applyFill="1" applyBorder="1" applyAlignment="1">
      <alignment horizontal="center" vertical="center"/>
    </xf>
    <xf numFmtId="0" fontId="26" fillId="13" borderId="1" xfId="2" applyFont="1" applyFill="1" applyBorder="1"/>
    <xf numFmtId="0" fontId="26" fillId="0" borderId="0" xfId="2" applyFont="1"/>
    <xf numFmtId="0" fontId="26" fillId="14" borderId="1" xfId="2" applyFont="1" applyFill="1" applyBorder="1"/>
    <xf numFmtId="0" fontId="26" fillId="14" borderId="1" xfId="2" applyFont="1" applyFill="1" applyBorder="1" applyAlignment="1">
      <alignment horizontal="left" vertical="center"/>
    </xf>
    <xf numFmtId="0" fontId="26" fillId="13" borderId="1" xfId="2" applyFont="1" applyFill="1" applyBorder="1" applyAlignment="1">
      <alignment horizontal="left"/>
    </xf>
    <xf numFmtId="0" fontId="8" fillId="17" borderId="1" xfId="2" applyFill="1" applyBorder="1"/>
    <xf numFmtId="0" fontId="8" fillId="17" borderId="1" xfId="2" applyFill="1" applyBorder="1" applyAlignment="1">
      <alignment vertical="center"/>
    </xf>
    <xf numFmtId="0" fontId="8" fillId="18" borderId="1" xfId="2" applyFill="1" applyBorder="1" applyAlignment="1">
      <alignment vertical="center"/>
    </xf>
    <xf numFmtId="0" fontId="8" fillId="18" borderId="1" xfId="2" applyFill="1" applyBorder="1"/>
    <xf numFmtId="0" fontId="8" fillId="0" borderId="0" xfId="2" applyAlignment="1">
      <alignment vertical="center"/>
    </xf>
    <xf numFmtId="0" fontId="8" fillId="0" borderId="1" xfId="2" applyBorder="1" applyAlignment="1">
      <alignment vertical="center"/>
    </xf>
    <xf numFmtId="0" fontId="8" fillId="0" borderId="3" xfId="2" applyBorder="1" applyAlignment="1">
      <alignment horizontal="left" vertical="center" wrapText="1"/>
    </xf>
    <xf numFmtId="0" fontId="8" fillId="0" borderId="3" xfId="2" applyBorder="1" applyAlignment="1">
      <alignment horizontal="center" vertical="center"/>
    </xf>
    <xf numFmtId="0" fontId="8" fillId="19" borderId="1" xfId="2" applyFill="1" applyBorder="1"/>
    <xf numFmtId="0" fontId="8" fillId="19" borderId="1" xfId="2" applyFill="1" applyBorder="1" applyAlignment="1">
      <alignment horizontal="left" vertical="center"/>
    </xf>
    <xf numFmtId="0" fontId="24" fillId="0" borderId="0" xfId="2" applyFont="1"/>
    <xf numFmtId="0" fontId="21" fillId="19" borderId="1" xfId="2" applyFont="1" applyFill="1" applyBorder="1" applyAlignment="1">
      <alignment horizontal="center" vertical="center"/>
    </xf>
    <xf numFmtId="0" fontId="8" fillId="0" borderId="29" xfId="2" applyBorder="1" applyAlignment="1">
      <alignment horizontal="center"/>
    </xf>
    <xf numFmtId="165" fontId="18" fillId="20" borderId="2" xfId="1" applyNumberFormat="1" applyFont="1" applyFill="1" applyBorder="1" applyAlignment="1" applyProtection="1">
      <alignment horizontal="center" vertical="center"/>
      <protection locked="0" hidden="1"/>
    </xf>
    <xf numFmtId="165" fontId="18" fillId="21" borderId="1" xfId="1" applyNumberFormat="1" applyFont="1" applyFill="1" applyBorder="1" applyAlignment="1" applyProtection="1">
      <alignment horizontal="center" vertical="center"/>
      <protection locked="0" hidden="1"/>
    </xf>
    <xf numFmtId="0" fontId="33" fillId="0" borderId="0" xfId="0" applyFont="1"/>
    <xf numFmtId="0" fontId="34" fillId="0" borderId="0" xfId="0" applyFont="1"/>
    <xf numFmtId="165" fontId="11" fillId="22" borderId="1" xfId="1" applyNumberFormat="1" applyFont="1" applyFill="1" applyBorder="1" applyAlignment="1" applyProtection="1">
      <alignment horizontal="center" vertical="center"/>
      <protection locked="0" hidden="1"/>
    </xf>
    <xf numFmtId="0" fontId="0" fillId="2" borderId="0" xfId="0" applyFill="1"/>
    <xf numFmtId="0" fontId="0" fillId="0" borderId="0" xfId="0" quotePrefix="1"/>
    <xf numFmtId="0" fontId="21" fillId="0" borderId="0" xfId="0" applyFont="1"/>
    <xf numFmtId="165" fontId="17" fillId="3" borderId="11" xfId="1" applyNumberFormat="1" applyFont="1" applyFill="1" applyBorder="1" applyAlignment="1" applyProtection="1">
      <alignment horizontal="center" vertical="center"/>
      <protection locked="0"/>
    </xf>
    <xf numFmtId="165" fontId="11" fillId="0" borderId="2" xfId="1" applyNumberFormat="1" applyFont="1" applyBorder="1" applyAlignment="1" applyProtection="1">
      <alignment horizontal="center" vertical="center"/>
      <protection locked="0"/>
    </xf>
    <xf numFmtId="165" fontId="11" fillId="0" borderId="12" xfId="1" applyNumberFormat="1" applyFont="1" applyBorder="1" applyAlignment="1" applyProtection="1">
      <alignment horizontal="center" vertical="center"/>
      <protection locked="0"/>
    </xf>
    <xf numFmtId="165" fontId="17" fillId="3" borderId="13" xfId="1" applyNumberFormat="1" applyFont="1" applyFill="1" applyBorder="1" applyAlignment="1" applyProtection="1">
      <alignment horizontal="center" vertical="center"/>
      <protection locked="0"/>
    </xf>
    <xf numFmtId="165" fontId="11" fillId="0" borderId="1" xfId="1" applyNumberFormat="1" applyFont="1" applyBorder="1" applyAlignment="1" applyProtection="1">
      <alignment horizontal="center" vertical="center"/>
      <protection locked="0"/>
    </xf>
    <xf numFmtId="165" fontId="11" fillId="0" borderId="14" xfId="1" applyNumberFormat="1" applyFont="1" applyBorder="1" applyAlignment="1" applyProtection="1">
      <alignment horizontal="center" vertical="center"/>
      <protection locked="0"/>
    </xf>
    <xf numFmtId="165" fontId="11" fillId="6" borderId="1" xfId="1" applyNumberFormat="1" applyFont="1" applyFill="1" applyBorder="1" applyAlignment="1" applyProtection="1">
      <alignment horizontal="center" vertical="center"/>
      <protection locked="0"/>
    </xf>
    <xf numFmtId="165" fontId="11" fillId="6" borderId="14" xfId="1" applyNumberFormat="1" applyFont="1" applyFill="1" applyBorder="1" applyAlignment="1" applyProtection="1">
      <alignment horizontal="center" vertical="center"/>
      <protection locked="0"/>
    </xf>
    <xf numFmtId="165" fontId="17" fillId="3" borderId="15" xfId="1" applyNumberFormat="1" applyFont="1" applyFill="1" applyBorder="1" applyAlignment="1" applyProtection="1">
      <alignment horizontal="center" vertical="center"/>
      <protection locked="0"/>
    </xf>
    <xf numFmtId="165" fontId="11" fillId="0" borderId="16" xfId="1" applyNumberFormat="1" applyFont="1" applyBorder="1" applyAlignment="1" applyProtection="1">
      <alignment horizontal="center" vertical="center"/>
      <protection locked="0"/>
    </xf>
    <xf numFmtId="165" fontId="11" fillId="0" borderId="17" xfId="1" applyNumberFormat="1" applyFont="1" applyBorder="1" applyAlignment="1" applyProtection="1">
      <alignment horizontal="center" vertical="center"/>
      <protection locked="0"/>
    </xf>
    <xf numFmtId="165" fontId="17" fillId="0" borderId="11" xfId="1" applyNumberFormat="1" applyFont="1" applyBorder="1" applyAlignment="1" applyProtection="1">
      <alignment horizontal="center" vertical="center"/>
      <protection locked="0"/>
    </xf>
    <xf numFmtId="165" fontId="10" fillId="0" borderId="2" xfId="1" applyNumberFormat="1" applyFont="1" applyBorder="1" applyAlignment="1" applyProtection="1">
      <alignment horizontal="center" vertical="center"/>
      <protection locked="0"/>
    </xf>
    <xf numFmtId="165" fontId="10" fillId="0" borderId="12" xfId="1" applyNumberFormat="1" applyFont="1" applyBorder="1" applyAlignment="1" applyProtection="1">
      <alignment horizontal="center" vertical="center"/>
      <protection locked="0"/>
    </xf>
    <xf numFmtId="165" fontId="17" fillId="0" borderId="13" xfId="1" applyNumberFormat="1" applyFont="1" applyBorder="1" applyAlignment="1" applyProtection="1">
      <alignment horizontal="center" vertical="center"/>
      <protection locked="0"/>
    </xf>
    <xf numFmtId="165" fontId="10" fillId="0" borderId="1" xfId="1" applyNumberFormat="1" applyFont="1" applyBorder="1" applyAlignment="1" applyProtection="1">
      <alignment horizontal="center" vertical="center"/>
      <protection locked="0"/>
    </xf>
    <xf numFmtId="165" fontId="10" fillId="0" borderId="14" xfId="1" applyNumberFormat="1" applyFont="1" applyBorder="1" applyAlignment="1" applyProtection="1">
      <alignment horizontal="center" vertical="center"/>
      <protection locked="0"/>
    </xf>
    <xf numFmtId="165" fontId="10" fillId="2" borderId="14" xfId="1" applyNumberFormat="1" applyFont="1" applyFill="1" applyBorder="1" applyAlignment="1" applyProtection="1">
      <alignment horizontal="center" vertical="center"/>
      <protection locked="0"/>
    </xf>
    <xf numFmtId="165" fontId="17" fillId="0" borderId="15" xfId="1" applyNumberFormat="1" applyFont="1" applyBorder="1" applyAlignment="1" applyProtection="1">
      <alignment horizontal="center" vertical="center"/>
      <protection locked="0"/>
    </xf>
    <xf numFmtId="165" fontId="10" fillId="0" borderId="16" xfId="1" applyNumberFormat="1" applyFont="1" applyBorder="1" applyAlignment="1" applyProtection="1">
      <alignment horizontal="center" vertical="center"/>
      <protection locked="0"/>
    </xf>
    <xf numFmtId="165" fontId="10" fillId="0" borderId="17" xfId="1" applyNumberFormat="1" applyFont="1" applyBorder="1" applyAlignment="1" applyProtection="1">
      <alignment horizontal="center" vertical="center"/>
      <protection locked="0"/>
    </xf>
    <xf numFmtId="165" fontId="11" fillId="23" borderId="1" xfId="1" applyNumberFormat="1" applyFont="1" applyFill="1" applyBorder="1" applyAlignment="1" applyProtection="1">
      <alignment horizontal="center" vertical="center"/>
      <protection locked="0"/>
    </xf>
    <xf numFmtId="165" fontId="11" fillId="2" borderId="1" xfId="1" applyNumberFormat="1" applyFont="1" applyFill="1" applyBorder="1" applyAlignment="1" applyProtection="1">
      <alignment horizontal="center" vertical="center"/>
      <protection locked="0"/>
    </xf>
    <xf numFmtId="165" fontId="10" fillId="24" borderId="2" xfId="1" applyNumberFormat="1" applyFont="1" applyFill="1" applyBorder="1" applyAlignment="1" applyProtection="1">
      <alignment horizontal="center" vertical="center"/>
      <protection locked="0"/>
    </xf>
    <xf numFmtId="165" fontId="10" fillId="5" borderId="14" xfId="1" applyNumberFormat="1" applyFont="1" applyFill="1" applyBorder="1" applyAlignment="1" applyProtection="1">
      <alignment horizontal="center" vertical="center"/>
      <protection locked="0"/>
    </xf>
    <xf numFmtId="165" fontId="18" fillId="0" borderId="11" xfId="1" applyNumberFormat="1" applyFont="1" applyBorder="1" applyAlignment="1" applyProtection="1">
      <alignment horizontal="center" vertical="center"/>
      <protection locked="0"/>
    </xf>
    <xf numFmtId="165" fontId="10" fillId="2" borderId="2" xfId="1" applyNumberFormat="1" applyFont="1" applyFill="1" applyBorder="1" applyAlignment="1" applyProtection="1">
      <alignment horizontal="center" vertical="center"/>
      <protection locked="0"/>
    </xf>
    <xf numFmtId="165" fontId="11" fillId="9" borderId="2" xfId="1" applyNumberFormat="1" applyFont="1" applyFill="1" applyBorder="1" applyAlignment="1" applyProtection="1">
      <alignment horizontal="center" vertical="center"/>
      <protection locked="0"/>
    </xf>
    <xf numFmtId="165" fontId="11" fillId="8" borderId="1" xfId="1" applyNumberFormat="1" applyFont="1" applyFill="1" applyBorder="1" applyAlignment="1" applyProtection="1">
      <alignment horizontal="center" vertical="center"/>
      <protection locked="0"/>
    </xf>
    <xf numFmtId="165" fontId="17" fillId="0" borderId="1" xfId="1" applyNumberFormat="1" applyFont="1" applyBorder="1" applyAlignment="1" applyProtection="1">
      <alignment horizontal="center" vertical="center"/>
      <protection locked="0"/>
    </xf>
    <xf numFmtId="165" fontId="18" fillId="2" borderId="13" xfId="1" applyNumberFormat="1" applyFont="1" applyFill="1" applyBorder="1" applyAlignment="1" applyProtection="1">
      <alignment horizontal="center" vertical="center"/>
      <protection locked="0"/>
    </xf>
    <xf numFmtId="165" fontId="18" fillId="2" borderId="11" xfId="1" applyNumberFormat="1" applyFont="1" applyFill="1" applyBorder="1" applyAlignment="1" applyProtection="1">
      <alignment horizontal="center" vertical="center"/>
      <protection locked="0"/>
    </xf>
    <xf numFmtId="165" fontId="11" fillId="24" borderId="2" xfId="1" applyNumberFormat="1" applyFont="1" applyFill="1" applyBorder="1" applyAlignment="1" applyProtection="1">
      <alignment horizontal="center" vertical="center"/>
      <protection locked="0"/>
    </xf>
    <xf numFmtId="165" fontId="11" fillId="0" borderId="0" xfId="1" applyNumberFormat="1" applyFont="1" applyFill="1" applyAlignment="1" applyProtection="1">
      <alignment horizontal="center" vertical="center"/>
      <protection locked="0" hidden="1"/>
    </xf>
    <xf numFmtId="165" fontId="10" fillId="0" borderId="1" xfId="1" applyNumberFormat="1" applyFont="1" applyFill="1" applyBorder="1" applyAlignment="1" applyProtection="1">
      <alignment horizontal="center" vertical="center"/>
      <protection locked="0"/>
    </xf>
    <xf numFmtId="165" fontId="11" fillId="0" borderId="1" xfId="1" applyNumberFormat="1" applyFont="1" applyFill="1" applyBorder="1" applyAlignment="1" applyProtection="1">
      <alignment horizontal="center" vertical="center"/>
      <protection locked="0"/>
    </xf>
    <xf numFmtId="165" fontId="11" fillId="8" borderId="14" xfId="1" applyNumberFormat="1" applyFont="1" applyFill="1" applyBorder="1" applyAlignment="1" applyProtection="1">
      <alignment horizontal="center" vertical="center"/>
      <protection locked="0"/>
    </xf>
    <xf numFmtId="165" fontId="18" fillId="0" borderId="0" xfId="1" applyNumberFormat="1" applyFont="1" applyFill="1" applyBorder="1" applyAlignment="1" applyProtection="1">
      <alignment horizontal="center" vertical="center"/>
      <protection locked="0" hidden="1"/>
    </xf>
    <xf numFmtId="165" fontId="10" fillId="24" borderId="2" xfId="1" quotePrefix="1" applyNumberFormat="1" applyFont="1" applyFill="1" applyBorder="1" applyAlignment="1" applyProtection="1">
      <alignment horizontal="center" vertical="center"/>
      <protection locked="0"/>
    </xf>
    <xf numFmtId="0" fontId="5" fillId="19" borderId="1" xfId="2" applyFont="1" applyFill="1" applyBorder="1"/>
    <xf numFmtId="0" fontId="5" fillId="17" borderId="1" xfId="2" applyFont="1" applyFill="1" applyBorder="1"/>
    <xf numFmtId="0" fontId="34" fillId="25" borderId="0" xfId="0" applyFont="1" applyFill="1" applyAlignment="1">
      <alignment horizontal="center" vertical="center"/>
    </xf>
    <xf numFmtId="165" fontId="11" fillId="25" borderId="1" xfId="1" applyNumberFormat="1" applyFont="1" applyFill="1" applyBorder="1" applyAlignment="1" applyProtection="1">
      <alignment horizontal="center" vertical="center"/>
      <protection locked="0"/>
    </xf>
    <xf numFmtId="165" fontId="11" fillId="25" borderId="13" xfId="1" applyNumberFormat="1" applyFont="1" applyFill="1" applyBorder="1" applyAlignment="1" applyProtection="1">
      <alignment horizontal="center" vertical="center"/>
      <protection locked="0"/>
    </xf>
    <xf numFmtId="165" fontId="18" fillId="26" borderId="1" xfId="1" applyNumberFormat="1" applyFont="1" applyFill="1" applyBorder="1" applyAlignment="1" applyProtection="1">
      <alignment horizontal="center" vertical="center"/>
      <protection locked="0" hidden="1"/>
    </xf>
    <xf numFmtId="165" fontId="11" fillId="0" borderId="2" xfId="1" applyNumberFormat="1" applyFont="1" applyFill="1" applyBorder="1" applyAlignment="1" applyProtection="1">
      <alignment horizontal="center" vertical="center"/>
      <protection locked="0"/>
    </xf>
    <xf numFmtId="0" fontId="28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 vertical="center"/>
    </xf>
    <xf numFmtId="0" fontId="34" fillId="0" borderId="0" xfId="0" applyFont="1" applyFill="1"/>
    <xf numFmtId="165" fontId="38" fillId="8" borderId="1" xfId="1" applyNumberFormat="1" applyFont="1" applyFill="1" applyBorder="1" applyAlignment="1" applyProtection="1">
      <alignment horizontal="center" vertical="center"/>
      <protection locked="0"/>
    </xf>
    <xf numFmtId="165" fontId="10" fillId="7" borderId="2" xfId="1" quotePrefix="1" applyNumberFormat="1" applyFont="1" applyFill="1" applyBorder="1" applyAlignment="1" applyProtection="1">
      <alignment horizontal="center" vertical="center"/>
      <protection locked="0"/>
    </xf>
    <xf numFmtId="165" fontId="10" fillId="5" borderId="1" xfId="1" applyNumberFormat="1" applyFont="1" applyFill="1" applyBorder="1" applyAlignment="1" applyProtection="1">
      <alignment horizontal="center" vertical="center"/>
      <protection locked="0"/>
    </xf>
    <xf numFmtId="165" fontId="10" fillId="12" borderId="1" xfId="1" quotePrefix="1" applyNumberFormat="1" applyFont="1" applyFill="1" applyBorder="1" applyAlignment="1" applyProtection="1">
      <alignment horizontal="center" vertical="center"/>
      <protection locked="0" hidden="1"/>
    </xf>
    <xf numFmtId="165" fontId="18" fillId="27" borderId="1" xfId="1" applyNumberFormat="1" applyFont="1" applyFill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vertical="center" wrapText="1"/>
    </xf>
    <xf numFmtId="0" fontId="39" fillId="0" borderId="1" xfId="0" applyFont="1" applyFill="1" applyBorder="1" applyAlignment="1">
      <alignment vertical="center" wrapText="1"/>
    </xf>
    <xf numFmtId="0" fontId="5" fillId="19" borderId="3" xfId="2" applyFont="1" applyFill="1" applyBorder="1"/>
    <xf numFmtId="0" fontId="35" fillId="28" borderId="1" xfId="2" applyFont="1" applyFill="1" applyBorder="1"/>
    <xf numFmtId="0" fontId="35" fillId="28" borderId="0" xfId="2" applyFont="1" applyFill="1"/>
    <xf numFmtId="0" fontId="40" fillId="29" borderId="1" xfId="2" applyFont="1" applyFill="1" applyBorder="1"/>
    <xf numFmtId="0" fontId="8" fillId="3" borderId="1" xfId="2" applyFill="1" applyBorder="1" applyAlignment="1">
      <alignment vertical="center"/>
    </xf>
    <xf numFmtId="0" fontId="8" fillId="3" borderId="1" xfId="2" applyFill="1" applyBorder="1"/>
    <xf numFmtId="0" fontId="6" fillId="3" borderId="1" xfId="2" applyFont="1" applyFill="1" applyBorder="1"/>
    <xf numFmtId="0" fontId="41" fillId="0" borderId="30" xfId="0" applyFont="1" applyBorder="1" applyAlignment="1">
      <alignment vertical="center"/>
    </xf>
    <xf numFmtId="0" fontId="41" fillId="0" borderId="31" xfId="0" applyFont="1" applyBorder="1" applyAlignment="1">
      <alignment vertical="center"/>
    </xf>
    <xf numFmtId="0" fontId="20" fillId="0" borderId="0" xfId="2" applyFont="1" applyBorder="1"/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horizontal="center" vertical="center"/>
    </xf>
    <xf numFmtId="0" fontId="5" fillId="3" borderId="1" xfId="2" applyFont="1" applyFill="1" applyBorder="1"/>
    <xf numFmtId="165" fontId="18" fillId="20" borderId="28" xfId="1" applyNumberFormat="1" applyFont="1" applyFill="1" applyBorder="1" applyAlignment="1" applyProtection="1">
      <alignment horizontal="center" vertical="center"/>
      <protection locked="0" hidden="1"/>
    </xf>
    <xf numFmtId="165" fontId="10" fillId="2" borderId="3" xfId="1" applyNumberFormat="1" applyFont="1" applyFill="1" applyBorder="1" applyAlignment="1" applyProtection="1">
      <alignment horizontal="center" vertical="center"/>
      <protection locked="0" hidden="1"/>
    </xf>
    <xf numFmtId="165" fontId="18" fillId="0" borderId="0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Border="1"/>
    <xf numFmtId="165" fontId="10" fillId="0" borderId="2" xfId="1" applyNumberFormat="1" applyFont="1" applyFill="1" applyBorder="1" applyAlignment="1" applyProtection="1">
      <alignment horizontal="center" vertical="center"/>
      <protection locked="0"/>
    </xf>
    <xf numFmtId="165" fontId="23" fillId="11" borderId="1" xfId="1" quotePrefix="1" applyNumberFormat="1" applyFont="1" applyFill="1" applyBorder="1" applyAlignment="1" applyProtection="1">
      <alignment horizontal="center" vertical="center"/>
      <protection locked="0" hidden="1"/>
    </xf>
    <xf numFmtId="165" fontId="43" fillId="5" borderId="1" xfId="1" quotePrefix="1" applyNumberFormat="1" applyFont="1" applyFill="1" applyBorder="1" applyAlignment="1" applyProtection="1">
      <alignment horizontal="center" vertical="center"/>
      <protection locked="0" hidden="1"/>
    </xf>
    <xf numFmtId="165" fontId="11" fillId="24" borderId="2" xfId="1" quotePrefix="1" applyNumberFormat="1" applyFont="1" applyFill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" fillId="0" borderId="0" xfId="3"/>
    <xf numFmtId="0" fontId="20" fillId="19" borderId="9" xfId="3" applyFont="1" applyFill="1" applyBorder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5" fillId="0" borderId="2" xfId="3" applyFont="1" applyBorder="1" applyAlignment="1">
      <alignment horizontal="center" vertical="center"/>
    </xf>
    <xf numFmtId="0" fontId="28" fillId="0" borderId="2" xfId="3" applyFont="1" applyBorder="1" applyAlignment="1">
      <alignment horizontal="center" vertical="center"/>
    </xf>
    <xf numFmtId="0" fontId="4" fillId="0" borderId="0" xfId="3" applyFont="1"/>
    <xf numFmtId="0" fontId="25" fillId="0" borderId="0" xfId="3" applyFont="1"/>
    <xf numFmtId="0" fontId="25" fillId="15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/>
    </xf>
    <xf numFmtId="0" fontId="28" fillId="3" borderId="1" xfId="3" applyFont="1" applyFill="1" applyBorder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6" fillId="0" borderId="0" xfId="3" applyFont="1"/>
    <xf numFmtId="0" fontId="27" fillId="0" borderId="0" xfId="3" applyFont="1"/>
    <xf numFmtId="0" fontId="31" fillId="0" borderId="0" xfId="3" applyFont="1"/>
    <xf numFmtId="0" fontId="45" fillId="0" borderId="0" xfId="4" applyFont="1" applyFill="1" applyAlignment="1">
      <alignment vertical="center"/>
    </xf>
    <xf numFmtId="0" fontId="46" fillId="0" borderId="0" xfId="4" applyFont="1" applyFill="1" applyBorder="1" applyAlignment="1">
      <alignment horizontal="left" vertical="top"/>
    </xf>
    <xf numFmtId="0" fontId="47" fillId="0" borderId="0" xfId="4" applyFont="1" applyFill="1" applyBorder="1" applyAlignment="1">
      <alignment horizontal="center" vertical="center"/>
    </xf>
    <xf numFmtId="0" fontId="47" fillId="0" borderId="0" xfId="4" applyFont="1" applyFill="1" applyBorder="1" applyAlignment="1">
      <alignment horizontal="left" vertical="top"/>
    </xf>
    <xf numFmtId="0" fontId="48" fillId="0" borderId="0" xfId="4" applyFont="1" applyFill="1" applyBorder="1" applyAlignment="1">
      <alignment horizontal="left" vertical="top"/>
    </xf>
    <xf numFmtId="0" fontId="49" fillId="0" borderId="0" xfId="4" applyFont="1" applyFill="1" applyAlignment="1">
      <alignment horizontal="left" vertical="top"/>
    </xf>
    <xf numFmtId="0" fontId="49" fillId="0" borderId="0" xfId="4" applyFont="1" applyFill="1" applyAlignment="1">
      <alignment horizontal="center" vertical="top"/>
    </xf>
    <xf numFmtId="0" fontId="49" fillId="0" borderId="0" xfId="4" applyFont="1" applyFill="1" applyBorder="1" applyAlignment="1">
      <alignment horizontal="left" vertical="top"/>
    </xf>
    <xf numFmtId="0" fontId="49" fillId="30" borderId="0" xfId="4" applyFont="1" applyFill="1" applyBorder="1" applyAlignment="1">
      <alignment horizontal="center" vertical="center"/>
    </xf>
    <xf numFmtId="0" fontId="50" fillId="0" borderId="0" xfId="4" applyFont="1" applyFill="1" applyBorder="1" applyAlignment="1">
      <alignment horizontal="left" vertical="top"/>
    </xf>
    <xf numFmtId="1" fontId="51" fillId="31" borderId="33" xfId="4" quotePrefix="1" applyNumberFormat="1" applyFont="1" applyFill="1" applyBorder="1" applyAlignment="1">
      <alignment horizontal="center" vertical="center" shrinkToFit="1"/>
    </xf>
    <xf numFmtId="1" fontId="52" fillId="30" borderId="34" xfId="4" applyNumberFormat="1" applyFont="1" applyFill="1" applyBorder="1" applyAlignment="1">
      <alignment horizontal="center" vertical="center" shrinkToFit="1"/>
    </xf>
    <xf numFmtId="0" fontId="49" fillId="0" borderId="0" xfId="4" applyFont="1" applyFill="1" applyBorder="1" applyAlignment="1">
      <alignment horizontal="left" vertical="center"/>
    </xf>
    <xf numFmtId="1" fontId="53" fillId="32" borderId="33" xfId="4" quotePrefix="1" applyNumberFormat="1" applyFont="1" applyFill="1" applyBorder="1" applyAlignment="1">
      <alignment horizontal="center" vertical="center" shrinkToFit="1"/>
    </xf>
    <xf numFmtId="0" fontId="54" fillId="0" borderId="0" xfId="4" applyFont="1" applyFill="1" applyAlignment="1">
      <alignment vertical="center"/>
    </xf>
    <xf numFmtId="1" fontId="55" fillId="32" borderId="33" xfId="4" applyNumberFormat="1" applyFont="1" applyFill="1" applyBorder="1" applyAlignment="1">
      <alignment horizontal="center" vertical="center" shrinkToFit="1"/>
    </xf>
    <xf numFmtId="0" fontId="56" fillId="0" borderId="0" xfId="4" applyFont="1" applyFill="1" applyAlignment="1">
      <alignment vertical="center"/>
    </xf>
    <xf numFmtId="1" fontId="57" fillId="5" borderId="35" xfId="4" applyNumberFormat="1" applyFont="1" applyFill="1" applyBorder="1" applyAlignment="1">
      <alignment horizontal="center" vertical="center" shrinkToFit="1"/>
    </xf>
    <xf numFmtId="0" fontId="54" fillId="14" borderId="0" xfId="4" applyFont="1" applyFill="1" applyAlignment="1">
      <alignment horizontal="center" vertical="center"/>
    </xf>
    <xf numFmtId="49" fontId="49" fillId="33" borderId="0" xfId="4" applyNumberFormat="1" applyFont="1" applyFill="1" applyBorder="1" applyAlignment="1">
      <alignment horizontal="center" vertical="center"/>
    </xf>
    <xf numFmtId="0" fontId="49" fillId="3" borderId="0" xfId="4" applyFont="1" applyFill="1" applyBorder="1" applyAlignment="1">
      <alignment horizontal="left" vertical="top"/>
    </xf>
    <xf numFmtId="0" fontId="49" fillId="3" borderId="0" xfId="4" applyFont="1" applyFill="1" applyBorder="1" applyAlignment="1">
      <alignment horizontal="center" vertical="top"/>
    </xf>
    <xf numFmtId="1" fontId="57" fillId="28" borderId="34" xfId="4" applyNumberFormat="1" applyFont="1" applyFill="1" applyBorder="1" applyAlignment="1">
      <alignment horizontal="center" vertical="center" shrinkToFit="1"/>
    </xf>
    <xf numFmtId="16" fontId="58" fillId="5" borderId="0" xfId="4" quotePrefix="1" applyNumberFormat="1" applyFont="1" applyFill="1" applyBorder="1" applyAlignment="1">
      <alignment horizontal="center" vertical="center"/>
    </xf>
    <xf numFmtId="49" fontId="49" fillId="34" borderId="0" xfId="4" applyNumberFormat="1" applyFont="1" applyFill="1" applyBorder="1" applyAlignment="1">
      <alignment horizontal="center" vertical="center"/>
    </xf>
    <xf numFmtId="0" fontId="59" fillId="0" borderId="0" xfId="4" applyFont="1" applyFill="1" applyBorder="1" applyAlignment="1">
      <alignment horizontal="left" vertical="top"/>
    </xf>
    <xf numFmtId="1" fontId="60" fillId="28" borderId="33" xfId="4" quotePrefix="1" applyNumberFormat="1" applyFont="1" applyFill="1" applyBorder="1" applyAlignment="1">
      <alignment horizontal="center" vertical="center" shrinkToFit="1"/>
    </xf>
    <xf numFmtId="1" fontId="57" fillId="25" borderId="36" xfId="4" applyNumberFormat="1" applyFont="1" applyFill="1" applyBorder="1" applyAlignment="1">
      <alignment horizontal="center" vertical="center" shrinkToFit="1"/>
    </xf>
    <xf numFmtId="1" fontId="57" fillId="35" borderId="37" xfId="4" applyNumberFormat="1" applyFont="1" applyFill="1" applyBorder="1" applyAlignment="1">
      <alignment horizontal="center" vertical="center" shrinkToFit="1"/>
    </xf>
    <xf numFmtId="49" fontId="49" fillId="5" borderId="0" xfId="4" applyNumberFormat="1" applyFont="1" applyFill="1" applyBorder="1" applyAlignment="1">
      <alignment horizontal="center" vertical="center"/>
    </xf>
    <xf numFmtId="0" fontId="62" fillId="0" borderId="0" xfId="4" applyFont="1" applyFill="1" applyAlignment="1">
      <alignment vertical="top" wrapText="1"/>
    </xf>
    <xf numFmtId="0" fontId="63" fillId="0" borderId="0" xfId="4" applyFont="1" applyFill="1" applyBorder="1" applyAlignment="1">
      <alignment horizontal="left" vertical="top"/>
    </xf>
    <xf numFmtId="0" fontId="64" fillId="0" borderId="0" xfId="4" applyFont="1" applyFill="1" applyBorder="1" applyAlignment="1">
      <alignment horizontal="center" vertical="center"/>
    </xf>
    <xf numFmtId="0" fontId="65" fillId="2" borderId="37" xfId="4" applyFont="1" applyFill="1" applyBorder="1" applyAlignment="1">
      <alignment horizontal="center" vertical="center" wrapText="1"/>
    </xf>
    <xf numFmtId="0" fontId="59" fillId="37" borderId="0" xfId="4" applyFont="1" applyFill="1" applyBorder="1" applyAlignment="1">
      <alignment horizontal="center" vertical="top"/>
    </xf>
    <xf numFmtId="0" fontId="66" fillId="0" borderId="0" xfId="4" applyFont="1" applyFill="1" applyAlignment="1">
      <alignment vertical="top" wrapText="1"/>
    </xf>
    <xf numFmtId="1" fontId="60" fillId="28" borderId="1" xfId="4" quotePrefix="1" applyNumberFormat="1" applyFont="1" applyFill="1" applyBorder="1" applyAlignment="1">
      <alignment horizontal="center" vertical="center" shrinkToFit="1"/>
    </xf>
    <xf numFmtId="0" fontId="46" fillId="0" borderId="0" xfId="4" applyFont="1" applyFill="1" applyBorder="1" applyAlignment="1">
      <alignment wrapText="1"/>
    </xf>
    <xf numFmtId="0" fontId="65" fillId="0" borderId="38" xfId="4" applyFont="1" applyFill="1" applyBorder="1" applyAlignment="1">
      <alignment horizontal="center" vertical="center" wrapText="1"/>
    </xf>
    <xf numFmtId="0" fontId="65" fillId="0" borderId="36" xfId="4" applyFont="1" applyFill="1" applyBorder="1" applyAlignment="1">
      <alignment horizontal="center" vertical="center" wrapText="1"/>
    </xf>
    <xf numFmtId="0" fontId="65" fillId="0" borderId="39" xfId="4" applyFont="1" applyFill="1" applyBorder="1" applyAlignment="1">
      <alignment horizontal="center" vertical="center" wrapText="1"/>
    </xf>
    <xf numFmtId="1" fontId="70" fillId="0" borderId="38" xfId="4" applyNumberFormat="1" applyFont="1" applyFill="1" applyBorder="1" applyAlignment="1">
      <alignment horizontal="right" shrinkToFit="1"/>
    </xf>
    <xf numFmtId="1" fontId="57" fillId="0" borderId="36" xfId="4" applyNumberFormat="1" applyFont="1" applyFill="1" applyBorder="1" applyAlignment="1">
      <alignment horizontal="center" vertical="center" shrinkToFit="1"/>
    </xf>
    <xf numFmtId="1" fontId="70" fillId="0" borderId="39" xfId="4" applyNumberFormat="1" applyFont="1" applyFill="1" applyBorder="1" applyAlignment="1">
      <alignment horizontal="right" shrinkToFit="1"/>
    </xf>
    <xf numFmtId="1" fontId="70" fillId="0" borderId="42" xfId="4" applyNumberFormat="1" applyFont="1" applyFill="1" applyBorder="1" applyAlignment="1">
      <alignment horizontal="right" shrinkToFit="1"/>
    </xf>
    <xf numFmtId="0" fontId="71" fillId="0" borderId="42" xfId="4" applyFont="1" applyFill="1" applyBorder="1" applyAlignment="1">
      <alignment horizontal="right" wrapText="1"/>
    </xf>
    <xf numFmtId="0" fontId="72" fillId="0" borderId="41" xfId="4" applyFont="1" applyFill="1" applyBorder="1" applyAlignment="1">
      <alignment horizontal="center" vertical="center" wrapText="1"/>
    </xf>
    <xf numFmtId="0" fontId="65" fillId="38" borderId="43" xfId="4" applyFont="1" applyFill="1" applyBorder="1" applyAlignment="1">
      <alignment horizontal="center" vertical="center" wrapText="1"/>
    </xf>
    <xf numFmtId="0" fontId="65" fillId="38" borderId="33" xfId="4" applyFont="1" applyFill="1" applyBorder="1" applyAlignment="1">
      <alignment horizontal="center" vertical="center" wrapText="1"/>
    </xf>
    <xf numFmtId="0" fontId="65" fillId="38" borderId="44" xfId="4" applyFont="1" applyFill="1" applyBorder="1" applyAlignment="1">
      <alignment horizontal="center" vertical="center" wrapText="1"/>
    </xf>
    <xf numFmtId="1" fontId="70" fillId="0" borderId="44" xfId="4" applyNumberFormat="1" applyFont="1" applyFill="1" applyBorder="1" applyAlignment="1">
      <alignment horizontal="right" shrinkToFit="1"/>
    </xf>
    <xf numFmtId="1" fontId="57" fillId="0" borderId="33" xfId="4" applyNumberFormat="1" applyFont="1" applyFill="1" applyBorder="1" applyAlignment="1">
      <alignment horizontal="center" vertical="center" shrinkToFit="1"/>
    </xf>
    <xf numFmtId="1" fontId="70" fillId="0" borderId="43" xfId="4" applyNumberFormat="1" applyFont="1" applyFill="1" applyBorder="1" applyAlignment="1">
      <alignment horizontal="right" shrinkToFit="1"/>
    </xf>
    <xf numFmtId="1" fontId="70" fillId="0" borderId="45" xfId="4" applyNumberFormat="1" applyFont="1" applyFill="1" applyBorder="1" applyAlignment="1">
      <alignment horizontal="right" shrinkToFit="1"/>
    </xf>
    <xf numFmtId="1" fontId="57" fillId="0" borderId="37" xfId="4" applyNumberFormat="1" applyFont="1" applyFill="1" applyBorder="1" applyAlignment="1">
      <alignment horizontal="center" vertical="center" shrinkToFit="1"/>
    </xf>
    <xf numFmtId="0" fontId="65" fillId="38" borderId="46" xfId="4" applyFont="1" applyFill="1" applyBorder="1" applyAlignment="1">
      <alignment horizontal="center" vertical="center" wrapText="1"/>
    </xf>
    <xf numFmtId="0" fontId="65" fillId="38" borderId="47" xfId="4" applyFont="1" applyFill="1" applyBorder="1" applyAlignment="1">
      <alignment horizontal="center" vertical="center" wrapText="1"/>
    </xf>
    <xf numFmtId="1" fontId="70" fillId="0" borderId="46" xfId="4" applyNumberFormat="1" applyFont="1" applyFill="1" applyBorder="1" applyAlignment="1">
      <alignment horizontal="right" shrinkToFit="1"/>
    </xf>
    <xf numFmtId="1" fontId="57" fillId="0" borderId="47" xfId="4" applyNumberFormat="1" applyFont="1" applyFill="1" applyBorder="1" applyAlignment="1">
      <alignment horizontal="center" vertical="center" shrinkToFit="1"/>
    </xf>
    <xf numFmtId="0" fontId="71" fillId="0" borderId="46" xfId="4" applyFont="1" applyFill="1" applyBorder="1" applyAlignment="1">
      <alignment horizontal="right" wrapText="1"/>
    </xf>
    <xf numFmtId="0" fontId="71" fillId="0" borderId="38" xfId="4" applyFont="1" applyFill="1" applyBorder="1" applyAlignment="1">
      <alignment horizontal="right" wrapText="1"/>
    </xf>
    <xf numFmtId="0" fontId="73" fillId="40" borderId="37" xfId="4" applyFont="1" applyFill="1" applyBorder="1" applyAlignment="1">
      <alignment horizontal="center" vertical="center" wrapText="1"/>
    </xf>
    <xf numFmtId="0" fontId="65" fillId="38" borderId="0" xfId="4" applyFont="1" applyFill="1" applyBorder="1" applyAlignment="1">
      <alignment horizontal="center" vertical="center" wrapText="1"/>
    </xf>
    <xf numFmtId="0" fontId="65" fillId="38" borderId="48" xfId="4" applyFont="1" applyFill="1" applyBorder="1" applyAlignment="1">
      <alignment horizontal="center" vertical="center" wrapText="1"/>
    </xf>
    <xf numFmtId="0" fontId="65" fillId="38" borderId="49" xfId="4" applyFont="1" applyFill="1" applyBorder="1" applyAlignment="1">
      <alignment horizontal="center" vertical="center" wrapText="1"/>
    </xf>
    <xf numFmtId="0" fontId="71" fillId="31" borderId="0" xfId="4" applyFont="1" applyFill="1" applyBorder="1" applyAlignment="1">
      <alignment horizontal="right" wrapText="1"/>
    </xf>
    <xf numFmtId="0" fontId="65" fillId="31" borderId="48" xfId="4" applyFont="1" applyFill="1" applyBorder="1" applyAlignment="1">
      <alignment horizontal="center" vertical="center" wrapText="1"/>
    </xf>
    <xf numFmtId="1" fontId="70" fillId="31" borderId="50" xfId="4" applyNumberFormat="1" applyFont="1" applyFill="1" applyBorder="1" applyAlignment="1">
      <alignment horizontal="right" shrinkToFit="1"/>
    </xf>
    <xf numFmtId="1" fontId="57" fillId="31" borderId="51" xfId="4" applyNumberFormat="1" applyFont="1" applyFill="1" applyBorder="1" applyAlignment="1">
      <alignment horizontal="center" vertical="center" shrinkToFit="1"/>
    </xf>
    <xf numFmtId="1" fontId="70" fillId="31" borderId="52" xfId="4" applyNumberFormat="1" applyFont="1" applyFill="1" applyBorder="1" applyAlignment="1">
      <alignment horizontal="right" shrinkToFit="1"/>
    </xf>
    <xf numFmtId="1" fontId="70" fillId="31" borderId="53" xfId="4" applyNumberFormat="1" applyFont="1" applyFill="1" applyBorder="1" applyAlignment="1">
      <alignment horizontal="right" shrinkToFit="1"/>
    </xf>
    <xf numFmtId="1" fontId="57" fillId="31" borderId="34" xfId="4" applyNumberFormat="1" applyFont="1" applyFill="1" applyBorder="1" applyAlignment="1">
      <alignment horizontal="center" vertical="center" shrinkToFit="1"/>
    </xf>
    <xf numFmtId="0" fontId="65" fillId="0" borderId="0" xfId="4" applyFont="1" applyFill="1" applyBorder="1" applyAlignment="1">
      <alignment horizontal="center" vertical="center"/>
    </xf>
    <xf numFmtId="1" fontId="70" fillId="3" borderId="1" xfId="4" applyNumberFormat="1" applyFont="1" applyFill="1" applyBorder="1" applyAlignment="1">
      <alignment horizontal="right" shrinkToFit="1"/>
    </xf>
    <xf numFmtId="1" fontId="57" fillId="3" borderId="1" xfId="4" applyNumberFormat="1" applyFont="1" applyFill="1" applyBorder="1" applyAlignment="1">
      <alignment horizontal="center" vertical="center" shrinkToFit="1"/>
    </xf>
    <xf numFmtId="1" fontId="57" fillId="3" borderId="43" xfId="4" applyNumberFormat="1" applyFont="1" applyFill="1" applyBorder="1" applyAlignment="1">
      <alignment horizontal="center" vertical="center" shrinkToFit="1"/>
    </xf>
    <xf numFmtId="1" fontId="57" fillId="3" borderId="36" xfId="4" applyNumberFormat="1" applyFont="1" applyFill="1" applyBorder="1" applyAlignment="1">
      <alignment horizontal="center" vertical="center" shrinkToFit="1"/>
    </xf>
    <xf numFmtId="1" fontId="70" fillId="0" borderId="54" xfId="4" applyNumberFormat="1" applyFont="1" applyFill="1" applyBorder="1" applyAlignment="1">
      <alignment horizontal="right" shrinkToFit="1"/>
    </xf>
    <xf numFmtId="1" fontId="70" fillId="0" borderId="50" xfId="4" applyNumberFormat="1" applyFont="1" applyFill="1" applyBorder="1" applyAlignment="1">
      <alignment horizontal="right" shrinkToFit="1"/>
    </xf>
    <xf numFmtId="1" fontId="57" fillId="0" borderId="55" xfId="4" applyNumberFormat="1" applyFont="1" applyFill="1" applyBorder="1" applyAlignment="1">
      <alignment horizontal="center" vertical="center" shrinkToFit="1"/>
    </xf>
    <xf numFmtId="1" fontId="70" fillId="0" borderId="52" xfId="4" applyNumberFormat="1" applyFont="1" applyFill="1" applyBorder="1" applyAlignment="1">
      <alignment horizontal="right" shrinkToFit="1"/>
    </xf>
    <xf numFmtId="1" fontId="57" fillId="0" borderId="51" xfId="4" applyNumberFormat="1" applyFont="1" applyFill="1" applyBorder="1" applyAlignment="1">
      <alignment horizontal="center" vertical="center" shrinkToFit="1"/>
    </xf>
    <xf numFmtId="0" fontId="71" fillId="0" borderId="56" xfId="4" applyFont="1" applyFill="1" applyBorder="1" applyAlignment="1">
      <alignment horizontal="right" wrapText="1"/>
    </xf>
    <xf numFmtId="0" fontId="65" fillId="0" borderId="37" xfId="4" applyFont="1" applyFill="1" applyBorder="1" applyAlignment="1">
      <alignment horizontal="center" vertical="center" wrapText="1"/>
    </xf>
    <xf numFmtId="0" fontId="71" fillId="5" borderId="38" xfId="4" applyFont="1" applyFill="1" applyBorder="1" applyAlignment="1">
      <alignment horizontal="right" wrapText="1"/>
    </xf>
    <xf numFmtId="0" fontId="65" fillId="5" borderId="36" xfId="4" applyFont="1" applyFill="1" applyBorder="1" applyAlignment="1">
      <alignment horizontal="center" vertical="center" wrapText="1"/>
    </xf>
    <xf numFmtId="0" fontId="71" fillId="5" borderId="46" xfId="4" applyFont="1" applyFill="1" applyBorder="1" applyAlignment="1">
      <alignment horizontal="right" wrapText="1"/>
    </xf>
    <xf numFmtId="0" fontId="74" fillId="0" borderId="38" xfId="4" applyFont="1" applyFill="1" applyBorder="1" applyAlignment="1">
      <alignment horizontal="right" wrapText="1"/>
    </xf>
    <xf numFmtId="0" fontId="65" fillId="37" borderId="37" xfId="4" applyFont="1" applyFill="1" applyBorder="1" applyAlignment="1">
      <alignment horizontal="center" vertical="center" wrapText="1"/>
    </xf>
    <xf numFmtId="1" fontId="70" fillId="31" borderId="43" xfId="4" applyNumberFormat="1" applyFont="1" applyFill="1" applyBorder="1" applyAlignment="1">
      <alignment horizontal="right" shrinkToFit="1"/>
    </xf>
    <xf numFmtId="1" fontId="57" fillId="31" borderId="33" xfId="4" applyNumberFormat="1" applyFont="1" applyFill="1" applyBorder="1" applyAlignment="1">
      <alignment horizontal="center" vertical="center" shrinkToFit="1"/>
    </xf>
    <xf numFmtId="1" fontId="70" fillId="31" borderId="44" xfId="4" applyNumberFormat="1" applyFont="1" applyFill="1" applyBorder="1" applyAlignment="1">
      <alignment horizontal="right" shrinkToFit="1"/>
    </xf>
    <xf numFmtId="1" fontId="75" fillId="31" borderId="43" xfId="4" applyNumberFormat="1" applyFont="1" applyFill="1" applyBorder="1" applyAlignment="1">
      <alignment horizontal="right" shrinkToFit="1"/>
    </xf>
    <xf numFmtId="1" fontId="76" fillId="31" borderId="33" xfId="4" applyNumberFormat="1" applyFont="1" applyFill="1" applyBorder="1" applyAlignment="1">
      <alignment horizontal="center" vertical="center" shrinkToFit="1"/>
    </xf>
    <xf numFmtId="1" fontId="57" fillId="42" borderId="33" xfId="4" applyNumberFormat="1" applyFont="1" applyFill="1" applyBorder="1" applyAlignment="1">
      <alignment horizontal="center" vertical="center" shrinkToFit="1"/>
    </xf>
    <xf numFmtId="1" fontId="77" fillId="19" borderId="43" xfId="4" applyNumberFormat="1" applyFont="1" applyFill="1" applyBorder="1" applyAlignment="1">
      <alignment horizontal="right" shrinkToFit="1"/>
    </xf>
    <xf numFmtId="1" fontId="57" fillId="41" borderId="57" xfId="4" applyNumberFormat="1" applyFont="1" applyFill="1" applyBorder="1" applyAlignment="1">
      <alignment horizontal="center" vertical="top" shrinkToFit="1"/>
    </xf>
    <xf numFmtId="0" fontId="72" fillId="0" borderId="47" xfId="4" applyFont="1" applyFill="1" applyBorder="1" applyAlignment="1">
      <alignment horizontal="center" vertical="center" wrapText="1"/>
    </xf>
    <xf numFmtId="1" fontId="70" fillId="0" borderId="58" xfId="4" applyNumberFormat="1" applyFont="1" applyFill="1" applyBorder="1" applyAlignment="1">
      <alignment horizontal="right" shrinkToFit="1"/>
    </xf>
    <xf numFmtId="1" fontId="57" fillId="30" borderId="34" xfId="4" applyNumberFormat="1" applyFont="1" applyFill="1" applyBorder="1" applyAlignment="1">
      <alignment horizontal="center" vertical="center" shrinkToFit="1"/>
    </xf>
    <xf numFmtId="1" fontId="70" fillId="0" borderId="59" xfId="4" applyNumberFormat="1" applyFont="1" applyFill="1" applyBorder="1" applyAlignment="1">
      <alignment horizontal="right" shrinkToFit="1"/>
    </xf>
    <xf numFmtId="1" fontId="57" fillId="3" borderId="34" xfId="4" applyNumberFormat="1" applyFont="1" applyFill="1" applyBorder="1" applyAlignment="1">
      <alignment horizontal="center" vertical="center" shrinkToFit="1"/>
    </xf>
    <xf numFmtId="1" fontId="70" fillId="0" borderId="53" xfId="4" applyNumberFormat="1" applyFont="1" applyFill="1" applyBorder="1" applyAlignment="1">
      <alignment horizontal="right" shrinkToFit="1"/>
    </xf>
    <xf numFmtId="1" fontId="57" fillId="0" borderId="34" xfId="4" applyNumberFormat="1" applyFont="1" applyFill="1" applyBorder="1" applyAlignment="1">
      <alignment horizontal="center" vertical="center" shrinkToFit="1"/>
    </xf>
    <xf numFmtId="0" fontId="78" fillId="37" borderId="49" xfId="4" applyFont="1" applyFill="1" applyBorder="1" applyAlignment="1">
      <alignment horizontal="right" wrapText="1"/>
    </xf>
    <xf numFmtId="0" fontId="79" fillId="3" borderId="60" xfId="4" applyFont="1" applyFill="1" applyBorder="1" applyAlignment="1">
      <alignment horizontal="center" vertical="center" wrapText="1"/>
    </xf>
    <xf numFmtId="1" fontId="57" fillId="3" borderId="35" xfId="4" applyNumberFormat="1" applyFont="1" applyFill="1" applyBorder="1" applyAlignment="1">
      <alignment horizontal="center" vertical="center" shrinkToFit="1"/>
    </xf>
    <xf numFmtId="0" fontId="71" fillId="13" borderId="56" xfId="4" applyFont="1" applyFill="1" applyBorder="1" applyAlignment="1">
      <alignment horizontal="right" wrapText="1"/>
    </xf>
    <xf numFmtId="0" fontId="65" fillId="13" borderId="37" xfId="4" applyFont="1" applyFill="1" applyBorder="1" applyAlignment="1">
      <alignment horizontal="center" vertical="center" wrapText="1"/>
    </xf>
    <xf numFmtId="0" fontId="71" fillId="37" borderId="56" xfId="4" applyFont="1" applyFill="1" applyBorder="1" applyAlignment="1">
      <alignment horizontal="right" wrapText="1"/>
    </xf>
    <xf numFmtId="0" fontId="74" fillId="0" borderId="56" xfId="4" applyFont="1" applyFill="1" applyBorder="1" applyAlignment="1">
      <alignment horizontal="right" wrapText="1"/>
    </xf>
    <xf numFmtId="0" fontId="80" fillId="0" borderId="37" xfId="4" applyFont="1" applyFill="1" applyBorder="1" applyAlignment="1">
      <alignment horizontal="center" vertical="center" wrapText="1"/>
    </xf>
    <xf numFmtId="1" fontId="57" fillId="13" borderId="33" xfId="4" applyNumberFormat="1" applyFont="1" applyFill="1" applyBorder="1" applyAlignment="1">
      <alignment horizontal="center" vertical="center" shrinkToFit="1"/>
    </xf>
    <xf numFmtId="1" fontId="57" fillId="32" borderId="33" xfId="4" applyNumberFormat="1" applyFont="1" applyFill="1" applyBorder="1" applyAlignment="1">
      <alignment horizontal="center" vertical="center" shrinkToFit="1"/>
    </xf>
    <xf numFmtId="1" fontId="57" fillId="14" borderId="61" xfId="4" applyNumberFormat="1" applyFont="1" applyFill="1" applyBorder="1" applyAlignment="1">
      <alignment horizontal="center" vertical="center" shrinkToFit="1"/>
    </xf>
    <xf numFmtId="1" fontId="70" fillId="28" borderId="44" xfId="4" applyNumberFormat="1" applyFont="1" applyFill="1" applyBorder="1" applyAlignment="1">
      <alignment horizontal="right" shrinkToFit="1"/>
    </xf>
    <xf numFmtId="1" fontId="57" fillId="28" borderId="33" xfId="4" applyNumberFormat="1" applyFont="1" applyFill="1" applyBorder="1" applyAlignment="1">
      <alignment horizontal="center" vertical="center" shrinkToFit="1"/>
    </xf>
    <xf numFmtId="1" fontId="70" fillId="28" borderId="43" xfId="4" applyNumberFormat="1" applyFont="1" applyFill="1" applyBorder="1" applyAlignment="1">
      <alignment horizontal="right" shrinkToFit="1"/>
    </xf>
    <xf numFmtId="0" fontId="71" fillId="0" borderId="62" xfId="4" applyFont="1" applyFill="1" applyBorder="1" applyAlignment="1">
      <alignment horizontal="right" wrapText="1"/>
    </xf>
    <xf numFmtId="0" fontId="65" fillId="0" borderId="63" xfId="4" applyFont="1" applyFill="1" applyBorder="1" applyAlignment="1">
      <alignment horizontal="center" vertical="center" wrapText="1"/>
    </xf>
    <xf numFmtId="0" fontId="71" fillId="0" borderId="49" xfId="4" applyFont="1" applyFill="1" applyBorder="1" applyAlignment="1">
      <alignment horizontal="right" wrapText="1"/>
    </xf>
    <xf numFmtId="0" fontId="72" fillId="0" borderId="48" xfId="4" applyFont="1" applyFill="1" applyBorder="1" applyAlignment="1">
      <alignment horizontal="center" vertical="center" wrapText="1"/>
    </xf>
    <xf numFmtId="1" fontId="81" fillId="0" borderId="1" xfId="4" applyNumberFormat="1" applyFont="1" applyFill="1" applyBorder="1" applyAlignment="1">
      <alignment horizontal="right" shrinkToFit="1"/>
    </xf>
    <xf numFmtId="1" fontId="82" fillId="32" borderId="33" xfId="4" applyNumberFormat="1" applyFont="1" applyFill="1" applyBorder="1" applyAlignment="1">
      <alignment horizontal="center" vertical="center" shrinkToFit="1"/>
    </xf>
    <xf numFmtId="49" fontId="58" fillId="33" borderId="1" xfId="4" applyNumberFormat="1" applyFont="1" applyFill="1" applyBorder="1" applyAlignment="1">
      <alignment horizontal="center"/>
    </xf>
    <xf numFmtId="49" fontId="83" fillId="33" borderId="1" xfId="4" applyNumberFormat="1" applyFont="1" applyFill="1" applyBorder="1" applyAlignment="1">
      <alignment horizontal="center" vertical="center"/>
    </xf>
    <xf numFmtId="1" fontId="70" fillId="28" borderId="1" xfId="4" applyNumberFormat="1" applyFont="1" applyFill="1" applyBorder="1" applyAlignment="1">
      <alignment horizontal="right" shrinkToFit="1"/>
    </xf>
    <xf numFmtId="1" fontId="57" fillId="28" borderId="1" xfId="4" applyNumberFormat="1" applyFont="1" applyFill="1" applyBorder="1" applyAlignment="1">
      <alignment horizontal="center" vertical="center" shrinkToFit="1"/>
    </xf>
    <xf numFmtId="1" fontId="70" fillId="34" borderId="59" xfId="4" applyNumberFormat="1" applyFont="1" applyFill="1" applyBorder="1" applyAlignment="1">
      <alignment horizontal="right" shrinkToFit="1"/>
    </xf>
    <xf numFmtId="1" fontId="70" fillId="34" borderId="43" xfId="4" applyNumberFormat="1" applyFont="1" applyFill="1" applyBorder="1" applyAlignment="1">
      <alignment horizontal="right" shrinkToFit="1"/>
    </xf>
    <xf numFmtId="1" fontId="57" fillId="34" borderId="33" xfId="4" applyNumberFormat="1" applyFont="1" applyFill="1" applyBorder="1" applyAlignment="1">
      <alignment horizontal="center" vertical="center" shrinkToFit="1"/>
    </xf>
    <xf numFmtId="1" fontId="70" fillId="34" borderId="44" xfId="4" applyNumberFormat="1" applyFont="1" applyFill="1" applyBorder="1" applyAlignment="1">
      <alignment horizontal="right" shrinkToFit="1"/>
    </xf>
    <xf numFmtId="0" fontId="71" fillId="0" borderId="46" xfId="4" applyFont="1" applyFill="1" applyBorder="1" applyAlignment="1">
      <alignment horizontal="right" vertical="center" wrapText="1"/>
    </xf>
    <xf numFmtId="1" fontId="70" fillId="5" borderId="59" xfId="4" applyNumberFormat="1" applyFont="1" applyFill="1" applyBorder="1" applyAlignment="1">
      <alignment horizontal="right" shrinkToFit="1"/>
    </xf>
    <xf numFmtId="1" fontId="57" fillId="5" borderId="34" xfId="4" applyNumberFormat="1" applyFont="1" applyFill="1" applyBorder="1" applyAlignment="1">
      <alignment horizontal="center" vertical="center" shrinkToFit="1"/>
    </xf>
    <xf numFmtId="0" fontId="65" fillId="38" borderId="51" xfId="4" applyFont="1" applyFill="1" applyBorder="1" applyAlignment="1">
      <alignment horizontal="center" vertical="center" wrapText="1"/>
    </xf>
    <xf numFmtId="0" fontId="67" fillId="0" borderId="0" xfId="4" applyFont="1" applyFill="1" applyAlignment="1">
      <alignment vertical="top" wrapText="1"/>
    </xf>
    <xf numFmtId="0" fontId="46" fillId="0" borderId="0" xfId="4" applyFont="1" applyFill="1" applyAlignment="1">
      <alignment horizontal="left"/>
    </xf>
    <xf numFmtId="0" fontId="48" fillId="0" borderId="0" xfId="4" applyFont="1" applyFill="1" applyAlignment="1">
      <alignment horizontal="left"/>
    </xf>
    <xf numFmtId="0" fontId="48" fillId="0" borderId="0" xfId="4" applyFont="1" applyFill="1" applyAlignment="1">
      <alignment horizontal="center" vertical="center"/>
    </xf>
    <xf numFmtId="0" fontId="89" fillId="0" borderId="0" xfId="4" applyFont="1" applyFill="1" applyBorder="1" applyAlignment="1">
      <alignment horizontal="left" vertical="top"/>
    </xf>
    <xf numFmtId="0" fontId="89" fillId="0" borderId="0" xfId="4" applyFont="1" applyFill="1" applyBorder="1" applyAlignment="1">
      <alignment horizontal="center" vertical="top"/>
    </xf>
    <xf numFmtId="1" fontId="82" fillId="3" borderId="33" xfId="4" applyNumberFormat="1" applyFont="1" applyFill="1" applyBorder="1" applyAlignment="1">
      <alignment horizontal="center" vertical="center" shrinkToFit="1"/>
    </xf>
    <xf numFmtId="1" fontId="57" fillId="35" borderId="36" xfId="4" applyNumberFormat="1" applyFont="1" applyFill="1" applyBorder="1" applyAlignment="1">
      <alignment horizontal="center" vertical="center" shrinkToFit="1"/>
    </xf>
    <xf numFmtId="0" fontId="49" fillId="0" borderId="0" xfId="4" applyFont="1" applyFill="1" applyAlignment="1">
      <alignment horizontal="left"/>
    </xf>
    <xf numFmtId="0" fontId="49" fillId="3" borderId="0" xfId="4" applyFont="1" applyFill="1" applyAlignment="1">
      <alignment horizontal="center" vertical="center"/>
    </xf>
    <xf numFmtId="0" fontId="81" fillId="46" borderId="36" xfId="4" applyFont="1" applyFill="1" applyBorder="1" applyAlignment="1">
      <alignment horizontal="center" vertical="center" wrapText="1"/>
    </xf>
    <xf numFmtId="0" fontId="49" fillId="0" borderId="0" xfId="4" applyFont="1" applyFill="1" applyBorder="1" applyAlignment="1">
      <alignment horizontal="center" vertical="center"/>
    </xf>
    <xf numFmtId="0" fontId="58" fillId="0" borderId="0" xfId="4" applyFont="1" applyFill="1" applyBorder="1" applyAlignment="1">
      <alignment horizontal="left" vertical="top"/>
    </xf>
    <xf numFmtId="0" fontId="49" fillId="41" borderId="0" xfId="4" applyFont="1" applyFill="1" applyBorder="1" applyAlignment="1">
      <alignment horizontal="center" vertical="center"/>
    </xf>
    <xf numFmtId="0" fontId="46" fillId="0" borderId="0" xfId="4" applyFont="1" applyFill="1" applyAlignment="1">
      <alignment horizontal="left" vertical="top"/>
    </xf>
    <xf numFmtId="1" fontId="57" fillId="47" borderId="33" xfId="4" applyNumberFormat="1" applyFont="1" applyFill="1" applyBorder="1" applyAlignment="1">
      <alignment horizontal="center" vertical="center" shrinkToFit="1"/>
    </xf>
    <xf numFmtId="0" fontId="63" fillId="0" borderId="0" xfId="4" applyFont="1" applyFill="1" applyAlignment="1">
      <alignment vertical="top"/>
    </xf>
    <xf numFmtId="0" fontId="45" fillId="0" borderId="0" xfId="4" applyAlignment="1"/>
    <xf numFmtId="0" fontId="3" fillId="0" borderId="0" xfId="4" applyFont="1" applyAlignment="1"/>
    <xf numFmtId="0" fontId="70" fillId="0" borderId="0" xfId="4" applyFont="1" applyFill="1" applyAlignment="1">
      <alignment vertical="center" wrapText="1"/>
    </xf>
    <xf numFmtId="0" fontId="46" fillId="0" borderId="0" xfId="4" applyFont="1" applyFill="1" applyAlignment="1"/>
    <xf numFmtId="0" fontId="49" fillId="0" borderId="0" xfId="4" applyFont="1" applyFill="1" applyAlignment="1"/>
    <xf numFmtId="0" fontId="46" fillId="50" borderId="0" xfId="4" applyFont="1" applyFill="1" applyAlignment="1"/>
    <xf numFmtId="1" fontId="82" fillId="51" borderId="33" xfId="4" applyNumberFormat="1" applyFont="1" applyFill="1" applyBorder="1" applyAlignment="1">
      <alignment horizontal="center" vertical="center" shrinkToFit="1"/>
    </xf>
    <xf numFmtId="0" fontId="67" fillId="0" borderId="0" xfId="4" applyFont="1" applyFill="1" applyBorder="1" applyAlignment="1">
      <alignment vertical="top" wrapText="1"/>
    </xf>
    <xf numFmtId="0" fontId="70" fillId="0" borderId="0" xfId="4" applyFont="1" applyFill="1" applyAlignment="1">
      <alignment horizontal="left" vertical="top" wrapText="1"/>
    </xf>
    <xf numFmtId="0" fontId="61" fillId="0" borderId="0" xfId="4" applyFont="1" applyFill="1" applyAlignment="1">
      <alignment horizontal="left" vertical="top" wrapText="1"/>
    </xf>
    <xf numFmtId="0" fontId="66" fillId="0" borderId="0" xfId="4" applyFont="1" applyFill="1" applyBorder="1" applyAlignment="1">
      <alignment vertical="top" wrapText="1"/>
    </xf>
    <xf numFmtId="0" fontId="61" fillId="0" borderId="0" xfId="4" applyFont="1" applyFill="1" applyAlignment="1">
      <alignment vertical="center" wrapText="1"/>
    </xf>
    <xf numFmtId="0" fontId="52" fillId="0" borderId="0" xfId="4" applyFont="1" applyFill="1" applyAlignment="1">
      <alignment horizontal="left" vertical="center"/>
    </xf>
    <xf numFmtId="0" fontId="62" fillId="51" borderId="0" xfId="4" applyFont="1" applyFill="1" applyBorder="1" applyAlignment="1">
      <alignment horizontal="center" vertical="center" wrapText="1"/>
    </xf>
    <xf numFmtId="0" fontId="62" fillId="36" borderId="0" xfId="4" applyFont="1" applyFill="1" applyAlignment="1">
      <alignment horizontal="center" vertical="center" wrapText="1"/>
    </xf>
    <xf numFmtId="0" fontId="62" fillId="36" borderId="0" xfId="4" applyFont="1" applyFill="1" applyAlignment="1">
      <alignment horizontal="center" vertical="top" wrapText="1"/>
    </xf>
    <xf numFmtId="0" fontId="62" fillId="0" borderId="0" xfId="4" applyFont="1" applyFill="1" applyAlignment="1">
      <alignment horizontal="center" vertical="top" wrapText="1"/>
    </xf>
    <xf numFmtId="0" fontId="90" fillId="0" borderId="0" xfId="4" applyFont="1" applyFill="1" applyAlignment="1">
      <alignment vertical="top" wrapText="1"/>
    </xf>
    <xf numFmtId="0" fontId="91" fillId="0" borderId="0" xfId="4" applyFont="1" applyFill="1" applyAlignment="1">
      <alignment vertical="top" wrapText="1"/>
    </xf>
    <xf numFmtId="1" fontId="52" fillId="30" borderId="64" xfId="4" applyNumberFormat="1" applyFont="1" applyFill="1" applyBorder="1" applyAlignment="1">
      <alignment horizontal="center" vertical="top" shrinkToFit="1"/>
    </xf>
    <xf numFmtId="1" fontId="93" fillId="52" borderId="61" xfId="4" applyNumberFormat="1" applyFont="1" applyFill="1" applyBorder="1" applyAlignment="1">
      <alignment horizontal="center" vertical="center" shrinkToFit="1"/>
    </xf>
    <xf numFmtId="0" fontId="49" fillId="14" borderId="0" xfId="4" applyFont="1" applyFill="1" applyBorder="1" applyAlignment="1">
      <alignment horizontal="center" vertical="top"/>
    </xf>
    <xf numFmtId="0" fontId="71" fillId="0" borderId="38" xfId="4" applyFont="1" applyFill="1" applyBorder="1" applyAlignment="1">
      <alignment horizontal="right" vertical="center" wrapText="1"/>
    </xf>
    <xf numFmtId="0" fontId="71" fillId="0" borderId="39" xfId="4" applyFont="1" applyFill="1" applyBorder="1" applyAlignment="1">
      <alignment horizontal="right" vertical="center" wrapText="1"/>
    </xf>
    <xf numFmtId="1" fontId="70" fillId="0" borderId="29" xfId="4" applyNumberFormat="1" applyFont="1" applyFill="1" applyBorder="1" applyAlignment="1">
      <alignment horizontal="right" vertical="center" shrinkToFit="1"/>
    </xf>
    <xf numFmtId="1" fontId="57" fillId="0" borderId="29" xfId="4" applyNumberFormat="1" applyFont="1" applyFill="1" applyBorder="1" applyAlignment="1">
      <alignment horizontal="center" vertical="center" shrinkToFit="1"/>
    </xf>
    <xf numFmtId="0" fontId="80" fillId="0" borderId="60" xfId="4" applyFont="1" applyFill="1" applyBorder="1" applyAlignment="1">
      <alignment horizontal="center" vertical="center" wrapText="1"/>
    </xf>
    <xf numFmtId="0" fontId="65" fillId="0" borderId="60" xfId="4" applyFont="1" applyFill="1" applyBorder="1" applyAlignment="1">
      <alignment horizontal="center" vertical="center" wrapText="1"/>
    </xf>
    <xf numFmtId="0" fontId="71" fillId="0" borderId="45" xfId="4" applyFont="1" applyFill="1" applyBorder="1" applyAlignment="1">
      <alignment horizontal="right" wrapText="1"/>
    </xf>
    <xf numFmtId="1" fontId="57" fillId="0" borderId="61" xfId="4" applyNumberFormat="1" applyFont="1" applyFill="1" applyBorder="1" applyAlignment="1">
      <alignment horizontal="center" vertical="center" shrinkToFit="1"/>
    </xf>
    <xf numFmtId="0" fontId="71" fillId="46" borderId="46" xfId="4" applyFont="1" applyFill="1" applyBorder="1" applyAlignment="1">
      <alignment horizontal="right" wrapText="1"/>
    </xf>
    <xf numFmtId="0" fontId="65" fillId="46" borderId="36" xfId="4" applyFont="1" applyFill="1" applyBorder="1" applyAlignment="1">
      <alignment horizontal="center" vertical="center" wrapText="1"/>
    </xf>
    <xf numFmtId="0" fontId="74" fillId="46" borderId="46" xfId="4" applyFont="1" applyFill="1" applyBorder="1" applyAlignment="1">
      <alignment horizontal="right" wrapText="1"/>
    </xf>
    <xf numFmtId="0" fontId="80" fillId="46" borderId="36" xfId="4" applyFont="1" applyFill="1" applyBorder="1" applyAlignment="1">
      <alignment horizontal="center" vertical="center" wrapText="1"/>
    </xf>
    <xf numFmtId="0" fontId="71" fillId="0" borderId="56" xfId="4" applyFont="1" applyFill="1" applyBorder="1" applyAlignment="1">
      <alignment horizontal="right" vertical="center" wrapText="1"/>
    </xf>
    <xf numFmtId="0" fontId="46" fillId="0" borderId="38" xfId="4" applyFont="1" applyFill="1" applyBorder="1" applyAlignment="1">
      <alignment horizontal="left" vertical="top"/>
    </xf>
    <xf numFmtId="0" fontId="46" fillId="0" borderId="36" xfId="4" applyFont="1" applyFill="1" applyBorder="1" applyAlignment="1">
      <alignment horizontal="left" vertical="top"/>
    </xf>
    <xf numFmtId="1" fontId="70" fillId="0" borderId="49" xfId="4" applyNumberFormat="1" applyFont="1" applyFill="1" applyBorder="1" applyAlignment="1">
      <alignment horizontal="right" shrinkToFit="1"/>
    </xf>
    <xf numFmtId="0" fontId="71" fillId="0" borderId="56" xfId="4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right" shrinkToFit="1"/>
    </xf>
    <xf numFmtId="0" fontId="65" fillId="14" borderId="1" xfId="4" applyFont="1" applyFill="1" applyBorder="1" applyAlignment="1">
      <alignment horizontal="center" vertical="center" wrapText="1"/>
    </xf>
    <xf numFmtId="0" fontId="71" fillId="3" borderId="1" xfId="4" applyFont="1" applyFill="1" applyBorder="1" applyAlignment="1">
      <alignment horizontal="right" wrapText="1"/>
    </xf>
    <xf numFmtId="0" fontId="65" fillId="3" borderId="1" xfId="4" applyFont="1" applyFill="1" applyBorder="1" applyAlignment="1">
      <alignment horizontal="center" vertical="center" wrapText="1"/>
    </xf>
    <xf numFmtId="0" fontId="47" fillId="38" borderId="38" xfId="4" applyFont="1" applyFill="1" applyBorder="1" applyAlignment="1">
      <alignment horizontal="center" vertical="center" wrapText="1"/>
    </xf>
    <xf numFmtId="0" fontId="65" fillId="38" borderId="36" xfId="4" applyFont="1" applyFill="1" applyBorder="1" applyAlignment="1">
      <alignment horizontal="center" vertical="center" wrapText="1"/>
    </xf>
    <xf numFmtId="1" fontId="70" fillId="0" borderId="40" xfId="4" applyNumberFormat="1" applyFont="1" applyFill="1" applyBorder="1" applyAlignment="1">
      <alignment horizontal="right" shrinkToFit="1"/>
    </xf>
    <xf numFmtId="1" fontId="57" fillId="0" borderId="51" xfId="4" applyNumberFormat="1" applyFont="1" applyFill="1" applyBorder="1" applyAlignment="1">
      <alignment horizontal="center" vertical="top" shrinkToFit="1"/>
    </xf>
    <xf numFmtId="0" fontId="71" fillId="3" borderId="56" xfId="4" applyFont="1" applyFill="1" applyBorder="1" applyAlignment="1">
      <alignment horizontal="right" wrapText="1"/>
    </xf>
    <xf numFmtId="0" fontId="65" fillId="3" borderId="37" xfId="4" applyFont="1" applyFill="1" applyBorder="1" applyAlignment="1">
      <alignment horizontal="center" vertical="center" wrapText="1"/>
    </xf>
    <xf numFmtId="0" fontId="65" fillId="14" borderId="37" xfId="4" applyFont="1" applyFill="1" applyBorder="1" applyAlignment="1">
      <alignment horizontal="center" vertical="center" wrapText="1"/>
    </xf>
    <xf numFmtId="0" fontId="71" fillId="48" borderId="56" xfId="4" applyFont="1" applyFill="1" applyBorder="1" applyAlignment="1">
      <alignment horizontal="right" wrapText="1"/>
    </xf>
    <xf numFmtId="0" fontId="65" fillId="48" borderId="37" xfId="4" applyFont="1" applyFill="1" applyBorder="1" applyAlignment="1">
      <alignment horizontal="center" vertical="center" wrapText="1"/>
    </xf>
    <xf numFmtId="0" fontId="71" fillId="19" borderId="56" xfId="4" applyFont="1" applyFill="1" applyBorder="1" applyAlignment="1">
      <alignment horizontal="right" wrapText="1"/>
    </xf>
    <xf numFmtId="0" fontId="71" fillId="0" borderId="38" xfId="4" applyFont="1" applyFill="1" applyBorder="1" applyAlignment="1">
      <alignment horizontal="center" wrapText="1"/>
    </xf>
    <xf numFmtId="0" fontId="47" fillId="0" borderId="36" xfId="4" applyFont="1" applyFill="1" applyBorder="1" applyAlignment="1">
      <alignment horizontal="center" vertical="center"/>
    </xf>
    <xf numFmtId="0" fontId="71" fillId="0" borderId="50" xfId="4" applyFont="1" applyFill="1" applyBorder="1" applyAlignment="1">
      <alignment horizontal="right" wrapText="1"/>
    </xf>
    <xf numFmtId="0" fontId="65" fillId="0" borderId="51" xfId="4" applyFont="1" applyFill="1" applyBorder="1" applyAlignment="1">
      <alignment horizontal="center" vertical="center" wrapText="1"/>
    </xf>
    <xf numFmtId="0" fontId="65" fillId="41" borderId="51" xfId="4" applyFont="1" applyFill="1" applyBorder="1" applyAlignment="1">
      <alignment horizontal="center" vertical="center" wrapText="1"/>
    </xf>
    <xf numFmtId="1" fontId="94" fillId="0" borderId="38" xfId="4" applyNumberFormat="1" applyFont="1" applyFill="1" applyBorder="1" applyAlignment="1">
      <alignment horizontal="right" shrinkToFit="1"/>
    </xf>
    <xf numFmtId="1" fontId="70" fillId="5" borderId="1" xfId="4" applyNumberFormat="1" applyFont="1" applyFill="1" applyBorder="1" applyAlignment="1">
      <alignment horizontal="right" shrinkToFit="1"/>
    </xf>
    <xf numFmtId="1" fontId="57" fillId="5" borderId="1" xfId="4" applyNumberFormat="1" applyFont="1" applyFill="1" applyBorder="1" applyAlignment="1">
      <alignment horizontal="center" vertical="center" shrinkToFit="1"/>
    </xf>
    <xf numFmtId="1" fontId="70" fillId="19" borderId="65" xfId="4" applyNumberFormat="1" applyFont="1" applyFill="1" applyBorder="1" applyAlignment="1">
      <alignment horizontal="right" shrinkToFit="1"/>
    </xf>
    <xf numFmtId="1" fontId="57" fillId="0" borderId="57" xfId="4" applyNumberFormat="1" applyFont="1" applyFill="1" applyBorder="1" applyAlignment="1">
      <alignment horizontal="center" vertical="center" shrinkToFit="1"/>
    </xf>
    <xf numFmtId="1" fontId="70" fillId="0" borderId="65" xfId="4" applyNumberFormat="1" applyFont="1" applyFill="1" applyBorder="1" applyAlignment="1">
      <alignment horizontal="right" shrinkToFit="1"/>
    </xf>
    <xf numFmtId="1" fontId="57" fillId="0" borderId="63" xfId="4" applyNumberFormat="1" applyFont="1" applyFill="1" applyBorder="1" applyAlignment="1">
      <alignment horizontal="center" vertical="center" shrinkToFit="1"/>
    </xf>
    <xf numFmtId="1" fontId="57" fillId="0" borderId="33" xfId="4" applyNumberFormat="1" applyFont="1" applyFill="1" applyBorder="1" applyAlignment="1">
      <alignment horizontal="center" vertical="top" shrinkToFit="1"/>
    </xf>
    <xf numFmtId="1" fontId="57" fillId="0" borderId="61" xfId="4" applyNumberFormat="1" applyFont="1" applyFill="1" applyBorder="1" applyAlignment="1">
      <alignment horizontal="center" vertical="top" shrinkToFit="1"/>
    </xf>
    <xf numFmtId="1" fontId="81" fillId="28" borderId="1" xfId="4" applyNumberFormat="1" applyFont="1" applyFill="1" applyBorder="1" applyAlignment="1">
      <alignment horizontal="center" shrinkToFit="1"/>
    </xf>
    <xf numFmtId="0" fontId="74" fillId="48" borderId="56" xfId="4" applyFont="1" applyFill="1" applyBorder="1" applyAlignment="1">
      <alignment horizontal="right" wrapText="1"/>
    </xf>
    <xf numFmtId="0" fontId="80" fillId="48" borderId="37" xfId="4" applyFont="1" applyFill="1" applyBorder="1" applyAlignment="1">
      <alignment horizontal="center" vertical="center" wrapText="1"/>
    </xf>
    <xf numFmtId="0" fontId="71" fillId="0" borderId="44" xfId="4" applyFont="1" applyFill="1" applyBorder="1" applyAlignment="1">
      <alignment horizontal="right" wrapText="1"/>
    </xf>
    <xf numFmtId="0" fontId="65" fillId="0" borderId="33" xfId="4" applyFont="1" applyFill="1" applyBorder="1" applyAlignment="1">
      <alignment horizontal="center" vertical="center" wrapText="1"/>
    </xf>
    <xf numFmtId="1" fontId="57" fillId="0" borderId="35" xfId="4" applyNumberFormat="1" applyFont="1" applyFill="1" applyBorder="1" applyAlignment="1">
      <alignment horizontal="center" vertical="center" shrinkToFit="1"/>
    </xf>
    <xf numFmtId="1" fontId="70" fillId="0" borderId="67" xfId="4" applyNumberFormat="1" applyFont="1" applyFill="1" applyBorder="1" applyAlignment="1">
      <alignment horizontal="right" shrinkToFit="1"/>
    </xf>
    <xf numFmtId="1" fontId="57" fillId="53" borderId="33" xfId="4" applyNumberFormat="1" applyFont="1" applyFill="1" applyBorder="1" applyAlignment="1">
      <alignment horizontal="center" vertical="center" shrinkToFit="1"/>
    </xf>
    <xf numFmtId="1" fontId="95" fillId="51" borderId="33" xfId="4" applyNumberFormat="1" applyFont="1" applyFill="1" applyBorder="1" applyAlignment="1">
      <alignment horizontal="center" vertical="center" shrinkToFit="1"/>
    </xf>
    <xf numFmtId="1" fontId="70" fillId="0" borderId="68" xfId="4" applyNumberFormat="1" applyFont="1" applyFill="1" applyBorder="1" applyAlignment="1">
      <alignment horizontal="right" shrinkToFit="1"/>
    </xf>
    <xf numFmtId="1" fontId="57" fillId="30" borderId="64" xfId="4" applyNumberFormat="1" applyFont="1" applyFill="1" applyBorder="1" applyAlignment="1">
      <alignment horizontal="center" vertical="top" shrinkToFit="1"/>
    </xf>
    <xf numFmtId="0" fontId="74" fillId="32" borderId="56" xfId="4" applyFont="1" applyFill="1" applyBorder="1" applyAlignment="1">
      <alignment horizontal="right" wrapText="1"/>
    </xf>
    <xf numFmtId="0" fontId="80" fillId="3" borderId="37" xfId="4" applyFont="1" applyFill="1" applyBorder="1" applyAlignment="1">
      <alignment horizontal="center" vertical="center" wrapText="1"/>
    </xf>
    <xf numFmtId="0" fontId="71" fillId="31" borderId="56" xfId="4" applyFont="1" applyFill="1" applyBorder="1" applyAlignment="1">
      <alignment horizontal="right" wrapText="1"/>
    </xf>
    <xf numFmtId="0" fontId="65" fillId="31" borderId="37" xfId="4" applyFont="1" applyFill="1" applyBorder="1" applyAlignment="1">
      <alignment horizontal="center" vertical="center" wrapText="1"/>
    </xf>
    <xf numFmtId="0" fontId="71" fillId="49" borderId="43" xfId="4" applyFont="1" applyFill="1" applyBorder="1" applyAlignment="1">
      <alignment horizontal="right" wrapText="1"/>
    </xf>
    <xf numFmtId="0" fontId="71" fillId="3" borderId="44" xfId="4" applyFont="1" applyFill="1" applyBorder="1" applyAlignment="1">
      <alignment horizontal="right" wrapText="1"/>
    </xf>
    <xf numFmtId="0" fontId="65" fillId="3" borderId="33" xfId="4" applyFont="1" applyFill="1" applyBorder="1" applyAlignment="1">
      <alignment horizontal="center" vertical="center" wrapText="1"/>
    </xf>
    <xf numFmtId="1" fontId="57" fillId="0" borderId="43" xfId="4" applyNumberFormat="1" applyFont="1" applyFill="1" applyBorder="1" applyAlignment="1">
      <alignment horizontal="center" vertical="center" shrinkToFit="1"/>
    </xf>
    <xf numFmtId="1" fontId="70" fillId="0" borderId="69" xfId="4" applyNumberFormat="1" applyFont="1" applyFill="1" applyBorder="1" applyAlignment="1">
      <alignment horizontal="right" shrinkToFit="1"/>
    </xf>
    <xf numFmtId="1" fontId="57" fillId="0" borderId="70" xfId="4" applyNumberFormat="1" applyFont="1" applyFill="1" applyBorder="1" applyAlignment="1">
      <alignment horizontal="center" vertical="top" shrinkToFit="1"/>
    </xf>
    <xf numFmtId="0" fontId="71" fillId="32" borderId="56" xfId="4" applyFont="1" applyFill="1" applyBorder="1" applyAlignment="1">
      <alignment horizontal="right" wrapText="1"/>
    </xf>
    <xf numFmtId="0" fontId="96" fillId="3" borderId="0" xfId="4" applyFont="1" applyFill="1" applyAlignment="1">
      <alignment horizontal="center" vertical="center"/>
    </xf>
    <xf numFmtId="1" fontId="70" fillId="31" borderId="49" xfId="4" applyNumberFormat="1" applyFont="1" applyFill="1" applyBorder="1" applyAlignment="1">
      <alignment horizontal="right" shrinkToFit="1"/>
    </xf>
    <xf numFmtId="1" fontId="57" fillId="31" borderId="48" xfId="4" applyNumberFormat="1" applyFont="1" applyFill="1" applyBorder="1" applyAlignment="1">
      <alignment horizontal="center" vertical="center" shrinkToFit="1"/>
    </xf>
    <xf numFmtId="1" fontId="70" fillId="0" borderId="71" xfId="4" applyNumberFormat="1" applyFont="1" applyFill="1" applyBorder="1" applyAlignment="1">
      <alignment horizontal="right" shrinkToFit="1"/>
    </xf>
    <xf numFmtId="1" fontId="75" fillId="52" borderId="44" xfId="4" applyNumberFormat="1" applyFont="1" applyFill="1" applyBorder="1" applyAlignment="1">
      <alignment horizontal="right" shrinkToFit="1"/>
    </xf>
    <xf numFmtId="1" fontId="76" fillId="52" borderId="61" xfId="4" applyNumberFormat="1" applyFont="1" applyFill="1" applyBorder="1" applyAlignment="1">
      <alignment horizontal="center" vertical="center" shrinkToFit="1"/>
    </xf>
    <xf numFmtId="1" fontId="57" fillId="14" borderId="72" xfId="4" applyNumberFormat="1" applyFont="1" applyFill="1" applyBorder="1" applyAlignment="1">
      <alignment horizontal="center" vertical="center" shrinkToFit="1"/>
    </xf>
    <xf numFmtId="1" fontId="57" fillId="0" borderId="73" xfId="4" applyNumberFormat="1" applyFont="1" applyFill="1" applyBorder="1" applyAlignment="1">
      <alignment horizontal="center" vertical="center" shrinkToFit="1"/>
    </xf>
    <xf numFmtId="1" fontId="70" fillId="0" borderId="56" xfId="4" applyNumberFormat="1" applyFont="1" applyFill="1" applyBorder="1" applyAlignment="1">
      <alignment horizontal="right" shrinkToFit="1"/>
    </xf>
    <xf numFmtId="1" fontId="57" fillId="0" borderId="72" xfId="4" applyNumberFormat="1" applyFont="1" applyFill="1" applyBorder="1" applyAlignment="1">
      <alignment horizontal="center" vertical="center" shrinkToFit="1"/>
    </xf>
    <xf numFmtId="0" fontId="26" fillId="54" borderId="1" xfId="2" applyFont="1" applyFill="1" applyBorder="1" applyAlignment="1">
      <alignment horizontal="left"/>
    </xf>
    <xf numFmtId="0" fontId="26" fillId="54" borderId="1" xfId="2" applyFont="1" applyFill="1" applyBorder="1"/>
    <xf numFmtId="0" fontId="29" fillId="54" borderId="9" xfId="2" applyFont="1" applyFill="1" applyBorder="1" applyAlignment="1">
      <alignment horizontal="center" vertical="center"/>
    </xf>
    <xf numFmtId="0" fontId="3" fillId="17" borderId="28" xfId="2" applyFont="1" applyFill="1" applyBorder="1"/>
    <xf numFmtId="0" fontId="3" fillId="18" borderId="3" xfId="2" applyFont="1" applyFill="1" applyBorder="1" applyAlignment="1">
      <alignment vertical="center"/>
    </xf>
    <xf numFmtId="0" fontId="3" fillId="18" borderId="1" xfId="2" applyFont="1" applyFill="1" applyBorder="1" applyAlignment="1">
      <alignment vertical="center"/>
    </xf>
    <xf numFmtId="0" fontId="3" fillId="17" borderId="1" xfId="2" applyFont="1" applyFill="1" applyBorder="1"/>
    <xf numFmtId="0" fontId="3" fillId="17" borderId="1" xfId="2" applyFont="1" applyFill="1" applyBorder="1" applyAlignment="1">
      <alignment vertical="center"/>
    </xf>
    <xf numFmtId="0" fontId="3" fillId="3" borderId="1" xfId="2" applyFont="1" applyFill="1" applyBorder="1"/>
    <xf numFmtId="0" fontId="35" fillId="28" borderId="3" xfId="2" applyFont="1" applyFill="1" applyBorder="1"/>
    <xf numFmtId="0" fontId="62" fillId="36" borderId="0" xfId="4" applyFont="1" applyFill="1" applyAlignment="1">
      <alignment horizontal="center" vertical="top" wrapText="1"/>
    </xf>
    <xf numFmtId="0" fontId="67" fillId="0" borderId="0" xfId="4" applyFont="1" applyFill="1" applyBorder="1" applyAlignment="1">
      <alignment horizontal="left" vertical="top" wrapText="1"/>
    </xf>
    <xf numFmtId="0" fontId="62" fillId="36" borderId="0" xfId="4" applyFont="1" applyFill="1" applyAlignment="1">
      <alignment horizontal="center" vertical="center" wrapText="1"/>
    </xf>
    <xf numFmtId="0" fontId="62" fillId="36" borderId="0" xfId="4" applyFont="1" applyFill="1" applyAlignment="1">
      <alignment horizontal="center" vertical="top" wrapText="1"/>
    </xf>
    <xf numFmtId="0" fontId="67" fillId="0" borderId="0" xfId="4" applyFont="1" applyFill="1" applyBorder="1" applyAlignment="1">
      <alignment horizontal="left" vertical="top" wrapText="1"/>
    </xf>
    <xf numFmtId="0" fontId="62" fillId="36" borderId="0" xfId="4" applyFont="1" applyFill="1" applyAlignment="1">
      <alignment horizontal="center" vertical="center" wrapText="1"/>
    </xf>
    <xf numFmtId="1" fontId="98" fillId="0" borderId="33" xfId="4" applyNumberFormat="1" applyFont="1" applyFill="1" applyBorder="1" applyAlignment="1">
      <alignment horizontal="center" vertical="center" shrinkToFit="1"/>
    </xf>
    <xf numFmtId="1" fontId="99" fillId="0" borderId="43" xfId="4" applyNumberFormat="1" applyFont="1" applyFill="1" applyBorder="1" applyAlignment="1">
      <alignment horizontal="right" shrinkToFit="1"/>
    </xf>
    <xf numFmtId="1" fontId="57" fillId="3" borderId="33" xfId="4" applyNumberFormat="1" applyFont="1" applyFill="1" applyBorder="1" applyAlignment="1">
      <alignment horizontal="center" vertical="center" shrinkToFit="1"/>
    </xf>
    <xf numFmtId="1" fontId="100" fillId="41" borderId="57" xfId="4" applyNumberFormat="1" applyFont="1" applyFill="1" applyBorder="1" applyAlignment="1">
      <alignment horizontal="center" vertical="top" shrinkToFit="1"/>
    </xf>
    <xf numFmtId="0" fontId="71" fillId="3" borderId="43" xfId="4" applyFont="1" applyFill="1" applyBorder="1" applyAlignment="1">
      <alignment horizontal="right" wrapText="1"/>
    </xf>
    <xf numFmtId="0" fontId="65" fillId="49" borderId="1" xfId="4" applyFont="1" applyFill="1" applyBorder="1" applyAlignment="1">
      <alignment horizontal="center" vertical="center" wrapText="1"/>
    </xf>
    <xf numFmtId="49" fontId="58" fillId="5" borderId="0" xfId="4" applyNumberFormat="1" applyFont="1" applyFill="1" applyBorder="1" applyAlignment="1">
      <alignment horizontal="center" vertical="center"/>
    </xf>
    <xf numFmtId="1" fontId="70" fillId="54" borderId="43" xfId="4" applyNumberFormat="1" applyFont="1" applyFill="1" applyBorder="1" applyAlignment="1">
      <alignment horizontal="right" shrinkToFit="1"/>
    </xf>
    <xf numFmtId="1" fontId="60" fillId="54" borderId="33" xfId="4" quotePrefix="1" applyNumberFormat="1" applyFont="1" applyFill="1" applyBorder="1" applyAlignment="1">
      <alignment horizontal="center" vertical="center" shrinkToFit="1"/>
    </xf>
    <xf numFmtId="1" fontId="51" fillId="54" borderId="33" xfId="4" applyNumberFormat="1" applyFont="1" applyFill="1" applyBorder="1" applyAlignment="1">
      <alignment horizontal="center" vertical="center" shrinkToFit="1"/>
    </xf>
    <xf numFmtId="16" fontId="52" fillId="49" borderId="33" xfId="4" quotePrefix="1" applyNumberFormat="1" applyFont="1" applyFill="1" applyBorder="1" applyAlignment="1">
      <alignment horizontal="center" vertical="center" wrapText="1"/>
    </xf>
    <xf numFmtId="49" fontId="59" fillId="5" borderId="0" xfId="4" applyNumberFormat="1" applyFont="1" applyFill="1" applyBorder="1" applyAlignment="1">
      <alignment horizontal="center" vertical="center"/>
    </xf>
    <xf numFmtId="0" fontId="65" fillId="31" borderId="1" xfId="4" applyFont="1" applyFill="1" applyBorder="1" applyAlignment="1">
      <alignment horizontal="center" vertical="center" wrapText="1"/>
    </xf>
    <xf numFmtId="0" fontId="47" fillId="3" borderId="36" xfId="4" applyFont="1" applyFill="1" applyBorder="1" applyAlignment="1">
      <alignment horizontal="center" vertical="center"/>
    </xf>
    <xf numFmtId="0" fontId="101" fillId="0" borderId="0" xfId="4" applyFont="1" applyFill="1" applyAlignment="1">
      <alignment horizontal="center" vertical="center"/>
    </xf>
    <xf numFmtId="0" fontId="59" fillId="37" borderId="0" xfId="4" quotePrefix="1" applyFont="1" applyFill="1" applyBorder="1" applyAlignment="1">
      <alignment horizontal="center" vertical="top"/>
    </xf>
    <xf numFmtId="0" fontId="71" fillId="37" borderId="1" xfId="4" applyFont="1" applyFill="1" applyBorder="1" applyAlignment="1">
      <alignment horizontal="right" wrapText="1"/>
    </xf>
    <xf numFmtId="1" fontId="102" fillId="28" borderId="1" xfId="4" applyNumberFormat="1" applyFont="1" applyFill="1" applyBorder="1" applyAlignment="1">
      <alignment horizontal="center" vertical="center" shrinkToFit="1"/>
    </xf>
    <xf numFmtId="0" fontId="65" fillId="5" borderId="1" xfId="4" applyFont="1" applyFill="1" applyBorder="1" applyAlignment="1">
      <alignment horizontal="center" vertical="center" wrapText="1"/>
    </xf>
    <xf numFmtId="49" fontId="58" fillId="48" borderId="0" xfId="4" applyNumberFormat="1" applyFont="1" applyFill="1" applyBorder="1" applyAlignment="1">
      <alignment horizontal="center" vertical="center"/>
    </xf>
    <xf numFmtId="1" fontId="57" fillId="35" borderId="1" xfId="4" applyNumberFormat="1" applyFont="1" applyFill="1" applyBorder="1" applyAlignment="1">
      <alignment horizontal="center" vertical="center" shrinkToFit="1"/>
    </xf>
    <xf numFmtId="0" fontId="48" fillId="13" borderId="1" xfId="4" applyFont="1" applyFill="1" applyBorder="1" applyAlignment="1">
      <alignment horizontal="center" vertical="center"/>
    </xf>
    <xf numFmtId="0" fontId="65" fillId="13" borderId="1" xfId="4" applyFont="1" applyFill="1" applyBorder="1" applyAlignment="1">
      <alignment horizontal="center" vertical="center" wrapText="1"/>
    </xf>
    <xf numFmtId="0" fontId="71" fillId="5" borderId="1" xfId="4" applyFont="1" applyFill="1" applyBorder="1" applyAlignment="1">
      <alignment horizontal="right" wrapText="1"/>
    </xf>
    <xf numFmtId="0" fontId="71" fillId="0" borderId="1" xfId="4" applyFont="1" applyFill="1" applyBorder="1" applyAlignment="1">
      <alignment horizontal="right" wrapText="1"/>
    </xf>
    <xf numFmtId="0" fontId="65" fillId="12" borderId="37" xfId="4" applyFont="1" applyFill="1" applyBorder="1" applyAlignment="1">
      <alignment horizontal="center" vertical="center" wrapText="1"/>
    </xf>
    <xf numFmtId="0" fontId="51" fillId="12" borderId="37" xfId="4" applyFont="1" applyFill="1" applyBorder="1" applyAlignment="1">
      <alignment horizontal="center" vertical="center" wrapText="1"/>
    </xf>
    <xf numFmtId="0" fontId="26" fillId="10" borderId="1" xfId="2" applyFont="1" applyFill="1" applyBorder="1"/>
    <xf numFmtId="0" fontId="2" fillId="3" borderId="1" xfId="2" applyFont="1" applyFill="1" applyBorder="1"/>
    <xf numFmtId="0" fontId="2" fillId="17" borderId="1" xfId="2" applyFont="1" applyFill="1" applyBorder="1"/>
    <xf numFmtId="0" fontId="84" fillId="43" borderId="0" xfId="4" applyFont="1" applyFill="1" applyAlignment="1">
      <alignment horizontal="center" vertical="top" wrapText="1"/>
    </xf>
    <xf numFmtId="0" fontId="61" fillId="43" borderId="0" xfId="4" applyFont="1" applyFill="1" applyAlignment="1">
      <alignment horizontal="center" vertical="top" wrapText="1"/>
    </xf>
    <xf numFmtId="0" fontId="65" fillId="38" borderId="48" xfId="4" applyFont="1" applyFill="1" applyBorder="1" applyAlignment="1">
      <alignment horizontal="center" vertical="center" wrapText="1"/>
    </xf>
    <xf numFmtId="0" fontId="65" fillId="38" borderId="0" xfId="4" applyFont="1" applyFill="1" applyBorder="1" applyAlignment="1">
      <alignment horizontal="center" vertical="center" wrapText="1"/>
    </xf>
    <xf numFmtId="0" fontId="65" fillId="38" borderId="34" xfId="4" applyFont="1" applyFill="1" applyBorder="1" applyAlignment="1">
      <alignment horizontal="center" vertical="center" wrapText="1"/>
    </xf>
    <xf numFmtId="0" fontId="65" fillId="38" borderId="59" xfId="4" applyFont="1" applyFill="1" applyBorder="1" applyAlignment="1">
      <alignment horizontal="center" vertical="center" wrapText="1"/>
    </xf>
    <xf numFmtId="0" fontId="46" fillId="39" borderId="41" xfId="4" applyFont="1" applyFill="1" applyBorder="1" applyAlignment="1">
      <alignment horizontal="center" vertical="center" wrapText="1"/>
    </xf>
    <xf numFmtId="0" fontId="46" fillId="39" borderId="29" xfId="4" applyFont="1" applyFill="1" applyBorder="1" applyAlignment="1">
      <alignment horizontal="center" vertical="center" wrapText="1"/>
    </xf>
    <xf numFmtId="0" fontId="46" fillId="39" borderId="40" xfId="4" applyFont="1" applyFill="1" applyBorder="1" applyAlignment="1">
      <alignment horizontal="center" vertical="center" wrapText="1"/>
    </xf>
    <xf numFmtId="0" fontId="69" fillId="38" borderId="1" xfId="4" applyFont="1" applyFill="1" applyBorder="1" applyAlignment="1">
      <alignment horizontal="center" vertical="center" wrapText="1"/>
    </xf>
    <xf numFmtId="0" fontId="62" fillId="36" borderId="0" xfId="4" applyFont="1" applyFill="1" applyAlignment="1">
      <alignment horizontal="center" vertical="top" wrapText="1"/>
    </xf>
    <xf numFmtId="0" fontId="68" fillId="36" borderId="0" xfId="4" applyFont="1" applyFill="1" applyAlignment="1">
      <alignment horizontal="center" vertical="center" wrapText="1"/>
    </xf>
    <xf numFmtId="0" fontId="46" fillId="38" borderId="1" xfId="4" applyFont="1" applyFill="1" applyBorder="1" applyAlignment="1">
      <alignment horizontal="center" vertical="center" wrapText="1"/>
    </xf>
    <xf numFmtId="0" fontId="61" fillId="43" borderId="0" xfId="4" applyFont="1" applyFill="1" applyAlignment="1">
      <alignment horizontal="left" vertical="top" wrapText="1"/>
    </xf>
    <xf numFmtId="0" fontId="61" fillId="43" borderId="0" xfId="4" applyFont="1" applyFill="1" applyAlignment="1">
      <alignment horizontal="right" vertical="top" wrapText="1" indent="2"/>
    </xf>
    <xf numFmtId="0" fontId="84" fillId="44" borderId="0" xfId="4" applyFont="1" applyFill="1" applyAlignment="1">
      <alignment horizontal="center" vertical="top" wrapText="1"/>
    </xf>
    <xf numFmtId="0" fontId="61" fillId="44" borderId="0" xfId="4" applyFont="1" applyFill="1" applyAlignment="1">
      <alignment horizontal="center" vertical="top" wrapText="1"/>
    </xf>
    <xf numFmtId="0" fontId="84" fillId="43" borderId="0" xfId="4" applyFont="1" applyFill="1" applyBorder="1" applyAlignment="1">
      <alignment horizontal="center" vertical="top" wrapText="1"/>
    </xf>
    <xf numFmtId="0" fontId="67" fillId="0" borderId="0" xfId="4" applyFont="1" applyFill="1" applyBorder="1" applyAlignment="1">
      <alignment horizontal="left" vertical="top" wrapText="1"/>
    </xf>
    <xf numFmtId="0" fontId="62" fillId="36" borderId="0" xfId="4" applyFont="1" applyFill="1" applyAlignment="1">
      <alignment horizontal="center" vertical="center" wrapText="1"/>
    </xf>
    <xf numFmtId="0" fontId="61" fillId="0" borderId="0" xfId="4" applyFont="1" applyFill="1" applyBorder="1" applyAlignment="1">
      <alignment horizontal="left" vertical="top" wrapText="1"/>
    </xf>
    <xf numFmtId="0" fontId="97" fillId="0" borderId="0" xfId="4" applyFont="1" applyFill="1" applyBorder="1" applyAlignment="1">
      <alignment horizontal="center" vertical="center"/>
    </xf>
    <xf numFmtId="0" fontId="46" fillId="39" borderId="36" xfId="4" applyFont="1" applyFill="1" applyBorder="1" applyAlignment="1">
      <alignment horizontal="center" vertical="center" wrapText="1"/>
    </xf>
    <xf numFmtId="0" fontId="46" fillId="39" borderId="39" xfId="4" applyFont="1" applyFill="1" applyBorder="1" applyAlignment="1">
      <alignment horizontal="center" vertical="center" wrapText="1"/>
    </xf>
    <xf numFmtId="0" fontId="46" fillId="39" borderId="46" xfId="4" applyFont="1" applyFill="1" applyBorder="1" applyAlignment="1">
      <alignment horizontal="center" vertical="center" wrapText="1"/>
    </xf>
    <xf numFmtId="0" fontId="46" fillId="38" borderId="36" xfId="4" applyFont="1" applyFill="1" applyBorder="1" applyAlignment="1">
      <alignment horizontal="center" vertical="center" wrapText="1"/>
    </xf>
    <xf numFmtId="0" fontId="46" fillId="38" borderId="39" xfId="4" applyFont="1" applyFill="1" applyBorder="1" applyAlignment="1">
      <alignment horizontal="center" vertical="center" wrapText="1"/>
    </xf>
    <xf numFmtId="0" fontId="46" fillId="38" borderId="38" xfId="4" applyFont="1" applyFill="1" applyBorder="1" applyAlignment="1">
      <alignment horizontal="center" vertical="center" wrapText="1"/>
    </xf>
    <xf numFmtId="0" fontId="62" fillId="36" borderId="4" xfId="4" applyFont="1" applyFill="1" applyBorder="1" applyAlignment="1">
      <alignment horizontal="left" vertical="top" wrapText="1"/>
    </xf>
    <xf numFmtId="0" fontId="85" fillId="45" borderId="0" xfId="4" applyFont="1" applyFill="1" applyBorder="1" applyAlignment="1">
      <alignment horizontal="center" vertical="center" wrapText="1"/>
    </xf>
    <xf numFmtId="0" fontId="57" fillId="45" borderId="0" xfId="4" applyFont="1" applyFill="1" applyBorder="1" applyAlignment="1">
      <alignment horizontal="center" vertical="center" wrapText="1"/>
    </xf>
    <xf numFmtId="0" fontId="86" fillId="45" borderId="0" xfId="4" applyFont="1" applyFill="1" applyBorder="1" applyAlignment="1">
      <alignment horizontal="center" vertical="center" wrapText="1"/>
    </xf>
    <xf numFmtId="0" fontId="88" fillId="45" borderId="0" xfId="4" applyFont="1" applyFill="1" applyBorder="1" applyAlignment="1">
      <alignment horizontal="center" vertical="center" wrapText="1"/>
    </xf>
    <xf numFmtId="0" fontId="87" fillId="45" borderId="0" xfId="4" applyFont="1" applyFill="1" applyBorder="1" applyAlignment="1">
      <alignment horizontal="center" vertical="center" wrapText="1"/>
    </xf>
    <xf numFmtId="0" fontId="61" fillId="45" borderId="0" xfId="4" applyFont="1" applyFill="1" applyBorder="1" applyAlignment="1">
      <alignment horizontal="center" vertical="center" wrapText="1"/>
    </xf>
    <xf numFmtId="0" fontId="46" fillId="38" borderId="57" xfId="4" applyFont="1" applyFill="1" applyBorder="1" applyAlignment="1">
      <alignment horizontal="center" vertical="center" wrapText="1"/>
    </xf>
    <xf numFmtId="0" fontId="46" fillId="38" borderId="66" xfId="4" applyFont="1" applyFill="1" applyBorder="1" applyAlignment="1">
      <alignment horizontal="center" vertical="center" wrapText="1"/>
    </xf>
    <xf numFmtId="0" fontId="46" fillId="38" borderId="65" xfId="4" applyFont="1" applyFill="1" applyBorder="1" applyAlignment="1">
      <alignment horizontal="center" vertical="center" wrapText="1"/>
    </xf>
    <xf numFmtId="0" fontId="62" fillId="0" borderId="0" xfId="4" applyFont="1" applyFill="1" applyAlignment="1">
      <alignment horizontal="center" vertical="top" wrapText="1"/>
    </xf>
    <xf numFmtId="0" fontId="92" fillId="36" borderId="0" xfId="4" applyFont="1" applyFill="1" applyAlignment="1">
      <alignment horizontal="center" vertical="center" wrapText="1"/>
    </xf>
    <xf numFmtId="0" fontId="65" fillId="39" borderId="37" xfId="4" applyFont="1" applyFill="1" applyBorder="1" applyAlignment="1">
      <alignment horizontal="center" vertical="center" wrapText="1"/>
    </xf>
    <xf numFmtId="0" fontId="65" fillId="39" borderId="56" xfId="4" applyFont="1" applyFill="1" applyBorder="1" applyAlignment="1">
      <alignment horizontal="center" vertical="center" wrapText="1"/>
    </xf>
    <xf numFmtId="0" fontId="62" fillId="19" borderId="0" xfId="4" applyFont="1" applyFill="1" applyAlignment="1">
      <alignment horizontal="left" vertical="top" wrapText="1"/>
    </xf>
    <xf numFmtId="0" fontId="65" fillId="38" borderId="53" xfId="4" applyFont="1" applyFill="1" applyBorder="1" applyAlignment="1">
      <alignment horizontal="center" vertical="center" wrapText="1"/>
    </xf>
    <xf numFmtId="0" fontId="65" fillId="38" borderId="36" xfId="4" applyFont="1" applyFill="1" applyBorder="1" applyAlignment="1">
      <alignment horizontal="center" vertical="center" wrapText="1"/>
    </xf>
    <xf numFmtId="0" fontId="65" fillId="38" borderId="38" xfId="4" applyFont="1" applyFill="1" applyBorder="1" applyAlignment="1">
      <alignment horizontal="center" vertical="center" wrapText="1"/>
    </xf>
    <xf numFmtId="0" fontId="69" fillId="38" borderId="37" xfId="4" applyFont="1" applyFill="1" applyBorder="1" applyAlignment="1">
      <alignment horizontal="left" wrapText="1"/>
    </xf>
    <xf numFmtId="0" fontId="69" fillId="38" borderId="56" xfId="4" applyFont="1" applyFill="1" applyBorder="1" applyAlignment="1">
      <alignment horizontal="left" wrapText="1"/>
    </xf>
    <xf numFmtId="0" fontId="52" fillId="45" borderId="0" xfId="4" applyFont="1" applyFill="1" applyBorder="1" applyAlignment="1">
      <alignment horizontal="center" vertical="center" wrapText="1"/>
    </xf>
    <xf numFmtId="164" fontId="16" fillId="4" borderId="5" xfId="1" applyNumberFormat="1" applyFont="1" applyFill="1" applyBorder="1" applyAlignment="1" applyProtection="1">
      <alignment horizontal="center"/>
      <protection locked="0"/>
    </xf>
    <xf numFmtId="164" fontId="16" fillId="4" borderId="6" xfId="1" applyNumberFormat="1" applyFont="1" applyFill="1" applyBorder="1" applyAlignment="1" applyProtection="1">
      <alignment horizontal="center"/>
      <protection locked="0"/>
    </xf>
    <xf numFmtId="164" fontId="16" fillId="4" borderId="7" xfId="1" applyNumberFormat="1" applyFont="1" applyFill="1" applyBorder="1" applyAlignment="1" applyProtection="1">
      <alignment horizontal="center"/>
      <protection locked="0"/>
    </xf>
    <xf numFmtId="0" fontId="15" fillId="0" borderId="20" xfId="1" applyFont="1" applyBorder="1" applyAlignment="1" applyProtection="1">
      <alignment horizontal="center" vertical="center"/>
      <protection locked="0"/>
    </xf>
    <xf numFmtId="0" fontId="15" fillId="0" borderId="21" xfId="1" applyFont="1" applyBorder="1" applyAlignment="1" applyProtection="1">
      <alignment horizontal="center" vertical="center"/>
      <protection locked="0"/>
    </xf>
    <xf numFmtId="0" fontId="15" fillId="0" borderId="22" xfId="1" applyFont="1" applyBorder="1" applyAlignment="1" applyProtection="1">
      <alignment horizontal="center" vertical="center"/>
      <protection locked="0"/>
    </xf>
    <xf numFmtId="0" fontId="15" fillId="0" borderId="23" xfId="1" applyFont="1" applyBorder="1" applyAlignment="1" applyProtection="1">
      <alignment horizontal="center" vertical="center"/>
      <protection locked="0"/>
    </xf>
    <xf numFmtId="0" fontId="15" fillId="0" borderId="24" xfId="1" applyFont="1" applyBorder="1" applyAlignment="1" applyProtection="1">
      <alignment horizontal="center" vertical="center"/>
      <protection locked="0"/>
    </xf>
    <xf numFmtId="0" fontId="15" fillId="0" borderId="25" xfId="1" applyFont="1" applyBorder="1" applyAlignment="1" applyProtection="1">
      <alignment horizontal="center" vertical="center"/>
      <protection locked="0"/>
    </xf>
    <xf numFmtId="0" fontId="15" fillId="0" borderId="26" xfId="1" applyFont="1" applyBorder="1" applyAlignment="1" applyProtection="1">
      <alignment horizontal="center" vertical="center"/>
      <protection locked="0"/>
    </xf>
    <xf numFmtId="0" fontId="15" fillId="0" borderId="27" xfId="1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horizontal="center"/>
    </xf>
    <xf numFmtId="164" fontId="16" fillId="4" borderId="32" xfId="1" applyNumberFormat="1" applyFont="1" applyFill="1" applyBorder="1" applyAlignment="1" applyProtection="1">
      <alignment horizontal="center"/>
      <protection locked="0"/>
    </xf>
    <xf numFmtId="164" fontId="16" fillId="4" borderId="0" xfId="1" applyNumberFormat="1" applyFont="1" applyFill="1" applyBorder="1" applyAlignment="1" applyProtection="1">
      <alignment horizontal="center"/>
      <protection locked="0"/>
    </xf>
    <xf numFmtId="0" fontId="30" fillId="16" borderId="0" xfId="2" applyFont="1" applyFill="1" applyAlignment="1">
      <alignment horizontal="center"/>
    </xf>
    <xf numFmtId="0" fontId="8" fillId="0" borderId="3" xfId="2" applyBorder="1" applyAlignment="1">
      <alignment horizontal="left" vertical="center"/>
    </xf>
    <xf numFmtId="0" fontId="8" fillId="0" borderId="2" xfId="2" applyBorder="1" applyAlignment="1">
      <alignment horizontal="left" vertical="center"/>
    </xf>
    <xf numFmtId="0" fontId="8" fillId="3" borderId="1" xfId="2" applyFill="1" applyBorder="1" applyAlignment="1">
      <alignment horizontal="left" vertical="center"/>
    </xf>
    <xf numFmtId="0" fontId="8" fillId="3" borderId="1" xfId="2" applyFill="1" applyBorder="1" applyAlignment="1">
      <alignment horizontal="center" vertical="center" wrapText="1"/>
    </xf>
    <xf numFmtId="0" fontId="35" fillId="28" borderId="3" xfId="2" applyFont="1" applyFill="1" applyBorder="1" applyAlignment="1">
      <alignment horizontal="left" vertical="center"/>
    </xf>
    <xf numFmtId="0" fontId="35" fillId="28" borderId="2" xfId="2" applyFont="1" applyFill="1" applyBorder="1" applyAlignment="1">
      <alignment horizontal="left" vertical="center"/>
    </xf>
    <xf numFmtId="0" fontId="8" fillId="19" borderId="3" xfId="2" applyFill="1" applyBorder="1" applyAlignment="1">
      <alignment horizontal="left" vertical="center"/>
    </xf>
    <xf numFmtId="0" fontId="8" fillId="19" borderId="2" xfId="2" applyFill="1" applyBorder="1" applyAlignment="1">
      <alignment horizontal="left" vertical="center"/>
    </xf>
    <xf numFmtId="0" fontId="7" fillId="18" borderId="3" xfId="2" applyFont="1" applyFill="1" applyBorder="1" applyAlignment="1">
      <alignment horizontal="left" vertical="center"/>
    </xf>
    <xf numFmtId="0" fontId="8" fillId="18" borderId="28" xfId="2" applyFill="1" applyBorder="1" applyAlignment="1">
      <alignment horizontal="left" vertical="center"/>
    </xf>
    <xf numFmtId="0" fontId="8" fillId="18" borderId="2" xfId="2" applyFill="1" applyBorder="1" applyAlignment="1">
      <alignment horizontal="left" vertical="center"/>
    </xf>
    <xf numFmtId="0" fontId="8" fillId="18" borderId="3" xfId="2" applyFill="1" applyBorder="1" applyAlignment="1">
      <alignment horizontal="left" vertical="center"/>
    </xf>
    <xf numFmtId="0" fontId="20" fillId="0" borderId="0" xfId="2" applyFont="1" applyAlignment="1">
      <alignment horizontal="center"/>
    </xf>
    <xf numFmtId="0" fontId="35" fillId="28" borderId="3" xfId="2" applyFont="1" applyFill="1" applyBorder="1" applyAlignment="1">
      <alignment horizontal="center" vertical="center"/>
    </xf>
    <xf numFmtId="0" fontId="35" fillId="28" borderId="28" xfId="2" applyFont="1" applyFill="1" applyBorder="1" applyAlignment="1">
      <alignment horizontal="center" vertical="center"/>
    </xf>
    <xf numFmtId="0" fontId="35" fillId="28" borderId="2" xfId="2" applyFont="1" applyFill="1" applyBorder="1" applyAlignment="1">
      <alignment horizontal="center" vertical="center"/>
    </xf>
    <xf numFmtId="0" fontId="35" fillId="28" borderId="3" xfId="2" applyFont="1" applyFill="1" applyBorder="1" applyAlignment="1">
      <alignment horizontal="center" vertical="center" wrapText="1"/>
    </xf>
    <xf numFmtId="0" fontId="35" fillId="28" borderId="28" xfId="2" applyFont="1" applyFill="1" applyBorder="1" applyAlignment="1">
      <alignment horizontal="center" vertical="center" wrapText="1"/>
    </xf>
    <xf numFmtId="0" fontId="35" fillId="28" borderId="2" xfId="2" applyFont="1" applyFill="1" applyBorder="1" applyAlignment="1">
      <alignment horizontal="center" vertical="center" wrapText="1"/>
    </xf>
    <xf numFmtId="0" fontId="8" fillId="19" borderId="3" xfId="2" applyFill="1" applyBorder="1" applyAlignment="1">
      <alignment horizontal="center" vertical="center" wrapText="1"/>
    </xf>
    <xf numFmtId="0" fontId="8" fillId="19" borderId="28" xfId="2" applyFill="1" applyBorder="1" applyAlignment="1">
      <alignment horizontal="center" vertical="center" wrapText="1"/>
    </xf>
    <xf numFmtId="0" fontId="8" fillId="19" borderId="2" xfId="2" applyFill="1" applyBorder="1" applyAlignment="1">
      <alignment horizontal="center" vertical="center" wrapText="1"/>
    </xf>
    <xf numFmtId="0" fontId="8" fillId="17" borderId="3" xfId="2" applyFill="1" applyBorder="1" applyAlignment="1">
      <alignment horizontal="center" vertical="center" wrapText="1"/>
    </xf>
    <xf numFmtId="0" fontId="8" fillId="17" borderId="28" xfId="2" applyFill="1" applyBorder="1" applyAlignment="1">
      <alignment horizontal="center" vertical="center" wrapText="1"/>
    </xf>
    <xf numFmtId="0" fontId="8" fillId="17" borderId="2" xfId="2" applyFill="1" applyBorder="1" applyAlignment="1">
      <alignment horizontal="center" vertical="center" wrapText="1"/>
    </xf>
    <xf numFmtId="0" fontId="8" fillId="19" borderId="3" xfId="2" applyFill="1" applyBorder="1" applyAlignment="1">
      <alignment horizontal="center" vertical="center"/>
    </xf>
    <xf numFmtId="0" fontId="8" fillId="19" borderId="28" xfId="2" applyFill="1" applyBorder="1" applyAlignment="1">
      <alignment horizontal="center" vertical="center"/>
    </xf>
    <xf numFmtId="0" fontId="8" fillId="19" borderId="2" xfId="2" applyFill="1" applyBorder="1" applyAlignment="1">
      <alignment horizontal="center" vertical="center"/>
    </xf>
    <xf numFmtId="0" fontId="8" fillId="17" borderId="3" xfId="2" applyFill="1" applyBorder="1" applyAlignment="1">
      <alignment horizontal="center" vertical="center"/>
    </xf>
    <xf numFmtId="0" fontId="8" fillId="17" borderId="28" xfId="2" applyFill="1" applyBorder="1" applyAlignment="1">
      <alignment horizontal="center" vertical="center"/>
    </xf>
    <xf numFmtId="0" fontId="8" fillId="17" borderId="2" xfId="2" applyFill="1" applyBorder="1" applyAlignment="1">
      <alignment horizontal="center" vertical="center"/>
    </xf>
    <xf numFmtId="0" fontId="40" fillId="29" borderId="3" xfId="2" applyFont="1" applyFill="1" applyBorder="1" applyAlignment="1">
      <alignment horizontal="left" vertical="center"/>
    </xf>
    <xf numFmtId="0" fontId="40" fillId="29" borderId="28" xfId="2" applyFont="1" applyFill="1" applyBorder="1" applyAlignment="1">
      <alignment horizontal="left" vertical="center"/>
    </xf>
    <xf numFmtId="0" fontId="40" fillId="29" borderId="2" xfId="2" applyFont="1" applyFill="1" applyBorder="1" applyAlignment="1">
      <alignment horizontal="left" vertical="center"/>
    </xf>
    <xf numFmtId="0" fontId="40" fillId="29" borderId="3" xfId="2" applyFont="1" applyFill="1" applyBorder="1" applyAlignment="1">
      <alignment horizontal="center" vertical="center" wrapText="1"/>
    </xf>
    <xf numFmtId="0" fontId="40" fillId="29" borderId="28" xfId="2" applyFont="1" applyFill="1" applyBorder="1" applyAlignment="1">
      <alignment horizontal="center" vertical="center" wrapText="1"/>
    </xf>
    <xf numFmtId="0" fontId="40" fillId="29" borderId="2" xfId="2" applyFont="1" applyFill="1" applyBorder="1" applyAlignment="1">
      <alignment horizontal="center" vertical="center" wrapText="1"/>
    </xf>
    <xf numFmtId="0" fontId="40" fillId="29" borderId="3" xfId="2" applyFont="1" applyFill="1" applyBorder="1" applyAlignment="1">
      <alignment horizontal="center" vertical="center"/>
    </xf>
    <xf numFmtId="0" fontId="40" fillId="29" borderId="28" xfId="2" applyFont="1" applyFill="1" applyBorder="1" applyAlignment="1">
      <alignment horizontal="center" vertical="center"/>
    </xf>
    <xf numFmtId="0" fontId="40" fillId="29" borderId="2" xfId="2" applyFont="1" applyFill="1" applyBorder="1" applyAlignment="1">
      <alignment horizontal="center" vertical="center"/>
    </xf>
    <xf numFmtId="0" fontId="8" fillId="19" borderId="1" xfId="2" applyFill="1" applyBorder="1" applyAlignment="1">
      <alignment horizontal="left" vertical="center"/>
    </xf>
    <xf numFmtId="0" fontId="8" fillId="19" borderId="28" xfId="2" applyFill="1" applyBorder="1" applyAlignment="1">
      <alignment horizontal="left" vertical="center"/>
    </xf>
    <xf numFmtId="0" fontId="8" fillId="18" borderId="3" xfId="2" applyFill="1" applyBorder="1" applyAlignment="1">
      <alignment horizontal="center" vertical="center"/>
    </xf>
    <xf numFmtId="0" fontId="8" fillId="18" borderId="28" xfId="2" applyFill="1" applyBorder="1" applyAlignment="1">
      <alignment horizontal="center" vertical="center"/>
    </xf>
    <xf numFmtId="0" fontId="8" fillId="18" borderId="2" xfId="2" applyFill="1" applyBorder="1" applyAlignment="1">
      <alignment horizontal="center" vertical="center"/>
    </xf>
    <xf numFmtId="0" fontId="8" fillId="3" borderId="1" xfId="2" applyFill="1" applyBorder="1" applyAlignment="1">
      <alignment horizontal="center" vertical="center"/>
    </xf>
    <xf numFmtId="0" fontId="8" fillId="17" borderId="1" xfId="2" applyFill="1" applyBorder="1" applyAlignment="1">
      <alignment horizontal="left" vertical="center"/>
    </xf>
    <xf numFmtId="0" fontId="8" fillId="17" borderId="4" xfId="2" applyFill="1" applyBorder="1" applyAlignment="1">
      <alignment horizontal="center" vertical="center"/>
    </xf>
    <xf numFmtId="0" fontId="8" fillId="17" borderId="0" xfId="2" applyFill="1" applyAlignment="1">
      <alignment horizontal="center" vertical="center"/>
    </xf>
    <xf numFmtId="0" fontId="8" fillId="17" borderId="1" xfId="2" applyFill="1" applyBorder="1" applyAlignment="1">
      <alignment horizontal="center" vertical="center"/>
    </xf>
    <xf numFmtId="0" fontId="8" fillId="3" borderId="3" xfId="2" applyFill="1" applyBorder="1" applyAlignment="1">
      <alignment horizontal="left" vertical="center"/>
    </xf>
    <xf numFmtId="0" fontId="8" fillId="3" borderId="2" xfId="2" applyFill="1" applyBorder="1" applyAlignment="1">
      <alignment horizontal="left" vertical="center"/>
    </xf>
    <xf numFmtId="0" fontId="8" fillId="17" borderId="3" xfId="2" applyFill="1" applyBorder="1" applyAlignment="1">
      <alignment horizontal="left" vertical="center"/>
    </xf>
    <xf numFmtId="0" fontId="8" fillId="17" borderId="2" xfId="2" applyFill="1" applyBorder="1" applyAlignment="1">
      <alignment horizontal="left" vertical="center"/>
    </xf>
    <xf numFmtId="0" fontId="42" fillId="0" borderId="0" xfId="0" applyFont="1" applyAlignment="1">
      <alignment horizontal="center"/>
    </xf>
    <xf numFmtId="0" fontId="20" fillId="3" borderId="1" xfId="3" applyFont="1" applyFill="1" applyBorder="1" applyAlignment="1">
      <alignment horizontal="center" vertical="center"/>
    </xf>
    <xf numFmtId="0" fontId="28" fillId="15" borderId="1" xfId="3" applyFont="1" applyFill="1" applyBorder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32" fillId="0" borderId="0" xfId="3" applyFont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1" fontId="57" fillId="0" borderId="48" xfId="4" applyNumberFormat="1" applyFont="1" applyFill="1" applyBorder="1" applyAlignment="1">
      <alignment horizontal="center" vertical="center" shrinkToFit="1"/>
    </xf>
    <xf numFmtId="1" fontId="57" fillId="54" borderId="1" xfId="4" applyNumberFormat="1" applyFont="1" applyFill="1" applyBorder="1" applyAlignment="1">
      <alignment horizontal="center" vertical="center" shrinkToFit="1"/>
    </xf>
    <xf numFmtId="1" fontId="70" fillId="54" borderId="53" xfId="4" applyNumberFormat="1" applyFont="1" applyFill="1" applyBorder="1" applyAlignment="1">
      <alignment horizontal="right" shrinkToFit="1"/>
    </xf>
    <xf numFmtId="0" fontId="65" fillId="54" borderId="1" xfId="4" applyFont="1" applyFill="1" applyBorder="1" applyAlignment="1">
      <alignment horizontal="center" vertical="center" wrapText="1"/>
    </xf>
    <xf numFmtId="1" fontId="103" fillId="55" borderId="1" xfId="4" applyNumberFormat="1" applyFont="1" applyFill="1" applyBorder="1" applyAlignment="1">
      <alignment horizontal="center" vertical="center" shrinkToFit="1"/>
    </xf>
    <xf numFmtId="0" fontId="104" fillId="3" borderId="0" xfId="4" applyFont="1" applyFill="1" applyAlignment="1">
      <alignment horizontal="center" vertical="top" wrapText="1"/>
    </xf>
    <xf numFmtId="0" fontId="65" fillId="37" borderId="1" xfId="4" applyFont="1" applyFill="1" applyBorder="1" applyAlignment="1">
      <alignment horizontal="center" vertical="center" wrapText="1"/>
    </xf>
    <xf numFmtId="0" fontId="1" fillId="3" borderId="1" xfId="2" applyFont="1" applyFill="1" applyBorder="1"/>
    <xf numFmtId="0" fontId="1" fillId="17" borderId="1" xfId="2" applyFont="1" applyFill="1" applyBorder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FA799E23-9ACD-4E42-AAAB-2A758913D474}"/>
    <cellStyle name="Normal 4" xfId="4" xr:uid="{647DC5B6-3DBD-4B60-9712-CBA9527AD6DE}"/>
  </cellStyles>
  <dxfs count="0"/>
  <tableStyles count="0" defaultTableStyle="TableStyleMedium9" defaultPivotStyle="PivotStyleLight16"/>
  <colors>
    <mruColors>
      <color rgb="FFFFFF66"/>
      <color rgb="FF00FF00"/>
      <color rgb="FFFF3300"/>
      <color rgb="FFFF3399"/>
      <color rgb="FFCC00CC"/>
      <color rgb="FFFF6600"/>
      <color rgb="FF0000CC"/>
      <color rgb="FFFFFF00"/>
      <color rgb="FF00CC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DA1B-B825-46E8-9F47-2CCECA41A655}">
  <dimension ref="A1:XFD87"/>
  <sheetViews>
    <sheetView topLeftCell="BI4" zoomScale="120" zoomScaleNormal="120" workbookViewId="0">
      <selection activeCell="BT12" sqref="BT12"/>
    </sheetView>
  </sheetViews>
  <sheetFormatPr defaultColWidth="7.7109375" defaultRowHeight="15"/>
  <cols>
    <col min="1" max="1" width="5.7109375" style="168" customWidth="1"/>
    <col min="2" max="2" width="2.7109375" style="168" customWidth="1"/>
    <col min="3" max="3" width="5.7109375" style="168" customWidth="1"/>
    <col min="4" max="4" width="3.28515625" style="168" customWidth="1"/>
    <col min="5" max="5" width="5.7109375" style="168" customWidth="1"/>
    <col min="6" max="6" width="3.28515625" style="168" customWidth="1"/>
    <col min="7" max="7" width="5.7109375" style="168" customWidth="1"/>
    <col min="8" max="8" width="3.28515625" style="168" customWidth="1"/>
    <col min="9" max="9" width="5.7109375" style="168" customWidth="1"/>
    <col min="10" max="10" width="3.140625" style="168" customWidth="1"/>
    <col min="11" max="11" width="5.7109375" style="168" customWidth="1"/>
    <col min="12" max="12" width="3.28515625" style="168" customWidth="1"/>
    <col min="13" max="13" width="5.7109375" style="168" customWidth="1"/>
    <col min="14" max="14" width="3.140625" style="168" customWidth="1"/>
    <col min="15" max="15" width="2.28515625" style="168" customWidth="1"/>
    <col min="16" max="16" width="5.7109375" style="168" customWidth="1"/>
    <col min="17" max="17" width="3.140625" style="168" customWidth="1"/>
    <col min="18" max="18" width="5.7109375" style="168" customWidth="1"/>
    <col min="19" max="19" width="3.140625" style="168" customWidth="1"/>
    <col min="20" max="20" width="5.7109375" style="168" customWidth="1"/>
    <col min="21" max="21" width="3.140625" style="168" customWidth="1"/>
    <col min="22" max="22" width="5.7109375" style="168" customWidth="1"/>
    <col min="23" max="23" width="3" style="168" customWidth="1"/>
    <col min="24" max="24" width="5.7109375" style="168" customWidth="1"/>
    <col min="25" max="25" width="3.28515625" style="168" customWidth="1"/>
    <col min="26" max="26" width="5.7109375" style="168" customWidth="1"/>
    <col min="27" max="27" width="3.140625" style="168" customWidth="1"/>
    <col min="28" max="28" width="5.7109375" style="168" customWidth="1"/>
    <col min="29" max="29" width="3.140625" style="168" customWidth="1"/>
    <col min="30" max="30" width="2.85546875" style="168" customWidth="1"/>
    <col min="31" max="31" width="5.7109375" style="168" customWidth="1"/>
    <col min="32" max="32" width="3.140625" style="168" customWidth="1"/>
    <col min="33" max="33" width="5.7109375" style="168" customWidth="1"/>
    <col min="34" max="34" width="3.140625" style="168" customWidth="1"/>
    <col min="35" max="35" width="5.7109375" style="168" customWidth="1"/>
    <col min="36" max="36" width="3.140625" style="168" customWidth="1"/>
    <col min="37" max="37" width="5.7109375" style="168" customWidth="1"/>
    <col min="38" max="38" width="3.140625" style="168" customWidth="1"/>
    <col min="39" max="39" width="5.7109375" style="168" customWidth="1"/>
    <col min="40" max="40" width="3.140625" style="168" customWidth="1"/>
    <col min="41" max="41" width="5.7109375" style="168" customWidth="1"/>
    <col min="42" max="42" width="3.140625" style="168" customWidth="1"/>
    <col min="43" max="43" width="5.7109375" style="168" customWidth="1"/>
    <col min="44" max="44" width="3.140625" style="168" customWidth="1"/>
    <col min="45" max="45" width="3" style="168" customWidth="1"/>
    <col min="46" max="46" width="5.7109375" style="168" customWidth="1"/>
    <col min="47" max="47" width="3.140625" style="168" customWidth="1"/>
    <col min="48" max="48" width="5.7109375" style="168" customWidth="1"/>
    <col min="49" max="49" width="3.140625" style="168" customWidth="1"/>
    <col min="50" max="50" width="5.7109375" style="168" customWidth="1"/>
    <col min="51" max="51" width="3.140625" style="168" customWidth="1"/>
    <col min="52" max="52" width="5.7109375" style="168" customWidth="1"/>
    <col min="53" max="53" width="3.140625" style="168" customWidth="1"/>
    <col min="54" max="54" width="5.7109375" style="168" customWidth="1"/>
    <col min="55" max="55" width="3.140625" style="168" customWidth="1"/>
    <col min="56" max="56" width="5.7109375" style="168" customWidth="1"/>
    <col min="57" max="57" width="3.140625" style="168" customWidth="1"/>
    <col min="58" max="58" width="5.7109375" style="168" customWidth="1"/>
    <col min="59" max="59" width="3.140625" style="168" customWidth="1"/>
    <col min="60" max="60" width="2.7109375" style="168" customWidth="1"/>
    <col min="61" max="61" width="5.7109375" style="168" customWidth="1"/>
    <col min="62" max="62" width="3.140625" style="168" customWidth="1"/>
    <col min="63" max="63" width="5.7109375" style="168" customWidth="1"/>
    <col min="64" max="64" width="3.140625" style="168" customWidth="1"/>
    <col min="65" max="65" width="5.7109375" style="168" customWidth="1"/>
    <col min="66" max="66" width="3.140625" style="168" customWidth="1"/>
    <col min="67" max="67" width="5.7109375" style="168" customWidth="1"/>
    <col min="68" max="68" width="3.140625" style="168" customWidth="1"/>
    <col min="69" max="69" width="5.7109375" style="168" customWidth="1"/>
    <col min="70" max="70" width="3.140625" style="168" customWidth="1"/>
    <col min="71" max="71" width="5.7109375" style="168" customWidth="1"/>
    <col min="72" max="72" width="3.140625" style="168" customWidth="1"/>
    <col min="73" max="73" width="5.7109375" style="168" customWidth="1"/>
    <col min="74" max="74" width="3.140625" style="168" customWidth="1"/>
    <col min="75" max="75" width="2.5703125" style="168" customWidth="1"/>
    <col min="76" max="76" width="5.7109375" style="168" customWidth="1"/>
    <col min="77" max="77" width="3.140625" style="168" customWidth="1"/>
    <col min="78" max="78" width="5.7109375" style="168" customWidth="1"/>
    <col min="79" max="79" width="3.140625" style="168" customWidth="1"/>
    <col min="80" max="80" width="5.7109375" style="168" customWidth="1"/>
    <col min="81" max="81" width="3.140625" style="168" customWidth="1"/>
    <col min="82" max="82" width="5.7109375" style="168" customWidth="1"/>
    <col min="83" max="83" width="3.140625" style="168" customWidth="1"/>
    <col min="84" max="84" width="5.7109375" style="168" customWidth="1"/>
    <col min="85" max="85" width="3.140625" style="168" customWidth="1"/>
    <col min="86" max="86" width="5.7109375" style="168" customWidth="1"/>
    <col min="87" max="87" width="3.140625" style="168" customWidth="1"/>
    <col min="88" max="88" width="5.7109375" style="168" customWidth="1"/>
    <col min="89" max="89" width="3.140625" style="168" customWidth="1"/>
    <col min="90" max="16341" width="7.7109375" style="168"/>
    <col min="16342" max="16384" width="7.7109375" style="167"/>
  </cols>
  <sheetData>
    <row r="1" spans="1:89 16342:16384" ht="34.5" customHeight="1">
      <c r="A1" s="486" t="s">
        <v>330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486"/>
      <c r="AQ1" s="486"/>
      <c r="AR1" s="486"/>
      <c r="AS1" s="486"/>
      <c r="AT1" s="486"/>
      <c r="AU1" s="486"/>
      <c r="AV1" s="486"/>
      <c r="AW1" s="486"/>
      <c r="AX1" s="486"/>
      <c r="AY1" s="486"/>
      <c r="AZ1" s="486"/>
      <c r="BA1" s="486"/>
      <c r="BB1" s="486"/>
      <c r="BC1" s="486"/>
      <c r="BD1" s="486"/>
      <c r="BE1" s="486"/>
      <c r="BF1" s="486"/>
      <c r="BG1" s="486"/>
      <c r="BH1" s="486"/>
      <c r="BI1" s="486"/>
      <c r="BJ1" s="486"/>
      <c r="BK1" s="486"/>
      <c r="BL1" s="486"/>
      <c r="BM1" s="486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  <c r="CD1" s="486"/>
      <c r="CE1" s="486"/>
      <c r="CF1" s="486"/>
      <c r="CG1" s="486"/>
      <c r="CH1" s="486"/>
      <c r="CI1" s="486"/>
      <c r="CJ1" s="486"/>
      <c r="CK1" s="486"/>
    </row>
    <row r="3" spans="1:89 16342:16384" s="168" customFormat="1" ht="23.1" customHeight="1">
      <c r="A3" s="494" t="s">
        <v>329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P3" s="498" t="s">
        <v>328</v>
      </c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E3" s="498" t="s">
        <v>327</v>
      </c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T3" s="498" t="s">
        <v>326</v>
      </c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499"/>
      <c r="BI3" s="498" t="s">
        <v>325</v>
      </c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499"/>
      <c r="BU3" s="499"/>
      <c r="BV3" s="499"/>
      <c r="BX3" s="498" t="s">
        <v>324</v>
      </c>
      <c r="BY3" s="499"/>
      <c r="BZ3" s="499"/>
      <c r="CA3" s="499"/>
      <c r="CB3" s="499"/>
      <c r="CC3" s="499"/>
      <c r="CD3" s="499"/>
      <c r="CE3" s="499"/>
      <c r="CF3" s="499"/>
      <c r="CG3" s="499"/>
      <c r="CH3" s="499"/>
      <c r="CI3" s="499"/>
      <c r="CJ3" s="499"/>
      <c r="CK3" s="499"/>
    </row>
    <row r="4" spans="1:89 16342:16384" s="174" customFormat="1" ht="18" customHeight="1">
      <c r="A4" s="465" t="s">
        <v>288</v>
      </c>
      <c r="B4" s="466"/>
      <c r="C4" s="465" t="s">
        <v>105</v>
      </c>
      <c r="D4" s="478"/>
      <c r="E4" s="465" t="s">
        <v>104</v>
      </c>
      <c r="F4" s="479"/>
      <c r="G4" s="465" t="s">
        <v>103</v>
      </c>
      <c r="H4" s="478"/>
      <c r="I4" s="465" t="s">
        <v>102</v>
      </c>
      <c r="J4" s="478"/>
      <c r="K4" s="480" t="s">
        <v>101</v>
      </c>
      <c r="L4" s="481"/>
      <c r="M4" s="465" t="s">
        <v>100</v>
      </c>
      <c r="N4" s="466"/>
      <c r="P4" s="465" t="s">
        <v>288</v>
      </c>
      <c r="Q4" s="466"/>
      <c r="R4" s="465" t="s">
        <v>105</v>
      </c>
      <c r="S4" s="478"/>
      <c r="T4" s="465" t="s">
        <v>104</v>
      </c>
      <c r="U4" s="479"/>
      <c r="V4" s="465" t="s">
        <v>103</v>
      </c>
      <c r="W4" s="478"/>
      <c r="X4" s="465" t="s">
        <v>102</v>
      </c>
      <c r="Y4" s="478"/>
      <c r="Z4" s="480" t="s">
        <v>101</v>
      </c>
      <c r="AA4" s="481"/>
      <c r="AB4" s="465" t="s">
        <v>100</v>
      </c>
      <c r="AC4" s="466"/>
      <c r="AE4" s="465" t="s">
        <v>288</v>
      </c>
      <c r="AF4" s="466"/>
      <c r="AG4" s="465" t="s">
        <v>105</v>
      </c>
      <c r="AH4" s="478"/>
      <c r="AI4" s="465" t="s">
        <v>104</v>
      </c>
      <c r="AJ4" s="479"/>
      <c r="AK4" s="465" t="s">
        <v>103</v>
      </c>
      <c r="AL4" s="478"/>
      <c r="AM4" s="465" t="s">
        <v>102</v>
      </c>
      <c r="AN4" s="478"/>
      <c r="AO4" s="480" t="s">
        <v>101</v>
      </c>
      <c r="AP4" s="481"/>
      <c r="AQ4" s="465" t="s">
        <v>100</v>
      </c>
      <c r="AR4" s="466"/>
      <c r="AT4" s="465" t="s">
        <v>288</v>
      </c>
      <c r="AU4" s="466"/>
      <c r="AV4" s="465" t="s">
        <v>105</v>
      </c>
      <c r="AW4" s="478"/>
      <c r="AX4" s="465" t="s">
        <v>104</v>
      </c>
      <c r="AY4" s="479"/>
      <c r="AZ4" s="465" t="s">
        <v>103</v>
      </c>
      <c r="BA4" s="478"/>
      <c r="BB4" s="465" t="s">
        <v>102</v>
      </c>
      <c r="BC4" s="478"/>
      <c r="BD4" s="480" t="s">
        <v>101</v>
      </c>
      <c r="BE4" s="481"/>
      <c r="BF4" s="465" t="s">
        <v>100</v>
      </c>
      <c r="BG4" s="466"/>
      <c r="BI4" s="465" t="s">
        <v>288</v>
      </c>
      <c r="BJ4" s="466"/>
      <c r="BK4" s="465" t="s">
        <v>105</v>
      </c>
      <c r="BL4" s="478"/>
      <c r="BM4" s="465" t="s">
        <v>104</v>
      </c>
      <c r="BN4" s="479"/>
      <c r="BO4" s="465" t="s">
        <v>103</v>
      </c>
      <c r="BP4" s="478"/>
      <c r="BQ4" s="465" t="s">
        <v>102</v>
      </c>
      <c r="BR4" s="478"/>
      <c r="BS4" s="480" t="s">
        <v>101</v>
      </c>
      <c r="BT4" s="481"/>
      <c r="BU4" s="465" t="s">
        <v>100</v>
      </c>
      <c r="BV4" s="466"/>
      <c r="BX4" s="465" t="s">
        <v>288</v>
      </c>
      <c r="BY4" s="466"/>
      <c r="BZ4" s="465" t="s">
        <v>105</v>
      </c>
      <c r="CA4" s="478"/>
      <c r="CB4" s="465" t="s">
        <v>104</v>
      </c>
      <c r="CC4" s="479"/>
      <c r="CD4" s="465" t="s">
        <v>103</v>
      </c>
      <c r="CE4" s="478"/>
      <c r="CF4" s="465" t="s">
        <v>102</v>
      </c>
      <c r="CG4" s="478"/>
      <c r="CH4" s="480" t="s">
        <v>101</v>
      </c>
      <c r="CI4" s="481"/>
      <c r="CJ4" s="465" t="s">
        <v>100</v>
      </c>
      <c r="CK4" s="466"/>
      <c r="XDN4" s="181"/>
      <c r="XDO4" s="181"/>
      <c r="XDP4" s="181"/>
      <c r="XDQ4" s="181"/>
      <c r="XDR4" s="181"/>
      <c r="XDS4" s="181"/>
      <c r="XDT4" s="181"/>
      <c r="XDU4" s="181"/>
      <c r="XDV4" s="181"/>
      <c r="XDW4" s="181"/>
      <c r="XDX4" s="181"/>
      <c r="XDY4" s="181"/>
      <c r="XDZ4" s="181"/>
      <c r="XEA4" s="181"/>
      <c r="XEB4" s="181"/>
      <c r="XEC4" s="181"/>
      <c r="XED4" s="181"/>
      <c r="XEE4" s="181"/>
      <c r="XEF4" s="181"/>
      <c r="XEG4" s="181"/>
      <c r="XEH4" s="181"/>
      <c r="XEI4" s="181"/>
      <c r="XEJ4" s="181"/>
      <c r="XEK4" s="181"/>
      <c r="XEL4" s="181"/>
      <c r="XEM4" s="181"/>
      <c r="XEN4" s="181"/>
      <c r="XEO4" s="181"/>
      <c r="XEP4" s="181"/>
      <c r="XEQ4" s="181"/>
      <c r="XER4" s="181"/>
      <c r="XES4" s="181"/>
      <c r="XET4" s="181"/>
      <c r="XEU4" s="181"/>
      <c r="XEV4" s="181"/>
      <c r="XEW4" s="181"/>
      <c r="XEX4" s="181"/>
      <c r="XEY4" s="181"/>
      <c r="XEZ4" s="181"/>
      <c r="XFA4" s="181"/>
      <c r="XFB4" s="181"/>
      <c r="XFC4" s="181"/>
      <c r="XFD4" s="181"/>
    </row>
    <row r="5" spans="1:89 16342:16384" s="168" customFormat="1" ht="26.1" customHeight="1">
      <c r="A5" s="511"/>
      <c r="B5" s="512"/>
      <c r="C5" s="230"/>
      <c r="D5" s="229"/>
      <c r="E5" s="270">
        <v>1</v>
      </c>
      <c r="F5" s="269">
        <v>5</v>
      </c>
      <c r="G5" s="418">
        <v>2</v>
      </c>
      <c r="H5" s="417">
        <v>6</v>
      </c>
      <c r="I5" s="270">
        <v>3</v>
      </c>
      <c r="J5" s="267">
        <v>7</v>
      </c>
      <c r="K5" s="416">
        <v>4</v>
      </c>
      <c r="L5" s="220">
        <v>8</v>
      </c>
      <c r="M5" s="415">
        <v>5</v>
      </c>
      <c r="N5" s="220">
        <v>9</v>
      </c>
      <c r="P5" s="230"/>
      <c r="Q5" s="229"/>
      <c r="R5" s="270">
        <v>1</v>
      </c>
      <c r="S5" s="267">
        <v>8</v>
      </c>
      <c r="T5" s="270">
        <v>2</v>
      </c>
      <c r="U5" s="269">
        <v>9</v>
      </c>
      <c r="V5" s="270">
        <v>3</v>
      </c>
      <c r="W5" s="269">
        <v>10</v>
      </c>
      <c r="X5" s="209">
        <v>4</v>
      </c>
      <c r="Y5" s="208">
        <v>11</v>
      </c>
      <c r="Z5" s="414">
        <v>5</v>
      </c>
      <c r="AA5" s="413">
        <v>12</v>
      </c>
      <c r="AB5" s="225">
        <v>6</v>
      </c>
      <c r="AC5" s="378">
        <v>13</v>
      </c>
      <c r="AE5" s="469"/>
      <c r="AF5" s="508"/>
      <c r="AG5" s="469"/>
      <c r="AH5" s="470"/>
      <c r="AI5" s="469"/>
      <c r="AJ5" s="508"/>
      <c r="AK5" s="469"/>
      <c r="AL5" s="508"/>
      <c r="AM5" s="467"/>
      <c r="AN5" s="508"/>
      <c r="AO5" s="467"/>
      <c r="AP5" s="508"/>
      <c r="AQ5" s="194">
        <v>1</v>
      </c>
      <c r="AR5" s="412">
        <v>10</v>
      </c>
      <c r="AS5" s="169"/>
      <c r="AT5" s="505"/>
      <c r="AU5" s="506"/>
      <c r="AV5" s="505"/>
      <c r="AW5" s="506"/>
      <c r="AX5" s="505"/>
      <c r="AY5" s="506"/>
      <c r="AZ5" s="505"/>
      <c r="BA5" s="506"/>
      <c r="BB5" s="411">
        <v>1</v>
      </c>
      <c r="BC5" s="410">
        <v>12</v>
      </c>
      <c r="BD5" s="401">
        <v>2</v>
      </c>
      <c r="BE5" s="400">
        <v>13</v>
      </c>
      <c r="BF5" s="401">
        <v>3</v>
      </c>
      <c r="BG5" s="400">
        <v>14</v>
      </c>
      <c r="BI5" s="278">
        <v>1</v>
      </c>
      <c r="BJ5" s="277">
        <v>11</v>
      </c>
      <c r="BK5" s="250">
        <v>2</v>
      </c>
      <c r="BL5" s="249">
        <v>12</v>
      </c>
      <c r="BM5" s="250">
        <v>3</v>
      </c>
      <c r="BN5" s="249">
        <v>13</v>
      </c>
      <c r="BO5" s="250">
        <v>4</v>
      </c>
      <c r="BP5" s="249">
        <v>14</v>
      </c>
      <c r="BQ5" s="250">
        <v>5</v>
      </c>
      <c r="BR5" s="249">
        <v>15</v>
      </c>
      <c r="BS5" s="409">
        <v>6</v>
      </c>
      <c r="BT5" s="249">
        <v>16</v>
      </c>
      <c r="BU5" s="200">
        <v>7</v>
      </c>
      <c r="BV5" s="408">
        <v>17</v>
      </c>
      <c r="BX5" s="230"/>
      <c r="BY5" s="229"/>
      <c r="BZ5" s="230"/>
      <c r="CA5" s="229"/>
      <c r="CB5" s="230"/>
      <c r="CC5" s="229"/>
      <c r="CD5" s="230"/>
      <c r="CE5" s="229"/>
      <c r="CF5" s="230"/>
      <c r="CG5" s="229"/>
      <c r="CH5" s="241">
        <v>1</v>
      </c>
      <c r="CI5" s="354">
        <v>14</v>
      </c>
      <c r="CJ5" s="194">
        <v>2</v>
      </c>
      <c r="CK5" s="354">
        <v>15</v>
      </c>
    </row>
    <row r="6" spans="1:89 16342:16384" s="168" customFormat="1" ht="26.1" customHeight="1">
      <c r="A6" s="407">
        <v>6</v>
      </c>
      <c r="B6" s="406">
        <v>10</v>
      </c>
      <c r="C6" s="385">
        <v>7</v>
      </c>
      <c r="D6" s="217">
        <v>11</v>
      </c>
      <c r="E6" s="218">
        <v>8</v>
      </c>
      <c r="F6" s="219">
        <v>12</v>
      </c>
      <c r="G6" s="349">
        <v>9</v>
      </c>
      <c r="H6" s="245">
        <v>13</v>
      </c>
      <c r="I6" s="394">
        <v>10</v>
      </c>
      <c r="J6" s="217">
        <v>14</v>
      </c>
      <c r="K6" s="218">
        <v>11</v>
      </c>
      <c r="L6" s="393">
        <v>15</v>
      </c>
      <c r="M6" s="349">
        <v>12</v>
      </c>
      <c r="N6" s="393">
        <v>16</v>
      </c>
      <c r="P6" s="209">
        <v>7</v>
      </c>
      <c r="Q6" s="208">
        <v>14</v>
      </c>
      <c r="R6" s="405">
        <v>8</v>
      </c>
      <c r="S6" s="217">
        <v>15</v>
      </c>
      <c r="T6" s="218">
        <v>9</v>
      </c>
      <c r="U6" s="219">
        <v>16</v>
      </c>
      <c r="V6" s="218">
        <v>10</v>
      </c>
      <c r="W6" s="219">
        <v>17</v>
      </c>
      <c r="X6" s="270">
        <v>11</v>
      </c>
      <c r="Y6" s="267">
        <v>18</v>
      </c>
      <c r="Z6" s="283">
        <v>12</v>
      </c>
      <c r="AA6" s="219">
        <v>19</v>
      </c>
      <c r="AB6" s="209">
        <v>13</v>
      </c>
      <c r="AC6" s="378">
        <v>20</v>
      </c>
      <c r="AE6" s="218">
        <v>2</v>
      </c>
      <c r="AF6" s="219">
        <v>11</v>
      </c>
      <c r="AG6" s="404">
        <v>3</v>
      </c>
      <c r="AH6" s="403">
        <v>12</v>
      </c>
      <c r="AI6" s="404">
        <v>4</v>
      </c>
      <c r="AJ6" s="403">
        <v>13</v>
      </c>
      <c r="AK6" s="440">
        <v>5</v>
      </c>
      <c r="AL6" s="439">
        <v>14</v>
      </c>
      <c r="AM6" s="440">
        <v>6</v>
      </c>
      <c r="AN6" s="402">
        <v>15</v>
      </c>
      <c r="AO6" s="440">
        <v>7</v>
      </c>
      <c r="AP6" s="402">
        <v>16</v>
      </c>
      <c r="AQ6" s="349">
        <v>8</v>
      </c>
      <c r="AR6" s="244">
        <v>17</v>
      </c>
      <c r="AS6" s="169"/>
      <c r="AT6" s="447">
        <v>4</v>
      </c>
      <c r="AU6" s="400">
        <v>15</v>
      </c>
      <c r="AV6" s="395">
        <v>5</v>
      </c>
      <c r="AW6" s="249">
        <v>16</v>
      </c>
      <c r="AX6" s="250">
        <v>6</v>
      </c>
      <c r="AY6" s="249">
        <v>17</v>
      </c>
      <c r="AZ6" s="250">
        <v>7</v>
      </c>
      <c r="BA6" s="249">
        <v>18</v>
      </c>
      <c r="BB6" s="250">
        <v>8</v>
      </c>
      <c r="BC6" s="249">
        <v>19</v>
      </c>
      <c r="BD6" s="362">
        <v>9</v>
      </c>
      <c r="BE6" s="249">
        <v>20</v>
      </c>
      <c r="BF6" s="250">
        <v>10</v>
      </c>
      <c r="BG6" s="249">
        <v>21</v>
      </c>
      <c r="BI6" s="399">
        <v>8</v>
      </c>
      <c r="BJ6" s="398">
        <v>18</v>
      </c>
      <c r="BK6" s="371">
        <v>9</v>
      </c>
      <c r="BL6" s="370">
        <v>19</v>
      </c>
      <c r="BM6" s="371">
        <v>10</v>
      </c>
      <c r="BN6" s="370">
        <v>20</v>
      </c>
      <c r="BO6" s="371">
        <v>11</v>
      </c>
      <c r="BP6" s="370">
        <v>21</v>
      </c>
      <c r="BQ6" s="371">
        <v>12</v>
      </c>
      <c r="BR6" s="370">
        <v>22</v>
      </c>
      <c r="BS6" s="371">
        <v>13</v>
      </c>
      <c r="BT6" s="370">
        <v>23</v>
      </c>
      <c r="BU6" s="371">
        <v>14</v>
      </c>
      <c r="BV6" s="370">
        <v>24</v>
      </c>
      <c r="BX6" s="250">
        <v>3</v>
      </c>
      <c r="BY6" s="354">
        <v>16</v>
      </c>
      <c r="BZ6" s="294">
        <v>4</v>
      </c>
      <c r="CA6" s="387">
        <v>17</v>
      </c>
      <c r="CB6" s="294">
        <v>5</v>
      </c>
      <c r="CC6" s="387">
        <v>18</v>
      </c>
      <c r="CD6" s="294">
        <v>6</v>
      </c>
      <c r="CE6" s="387">
        <v>19</v>
      </c>
      <c r="CF6" s="294">
        <v>7</v>
      </c>
      <c r="CG6" s="387">
        <v>20</v>
      </c>
      <c r="CH6" s="294">
        <v>8</v>
      </c>
      <c r="CI6" s="387">
        <v>21</v>
      </c>
      <c r="CJ6" s="294">
        <v>9</v>
      </c>
      <c r="CK6" s="387">
        <v>22</v>
      </c>
    </row>
    <row r="7" spans="1:89 16342:16384" s="168" customFormat="1" ht="26.1" customHeight="1">
      <c r="A7" s="397">
        <v>13</v>
      </c>
      <c r="B7" s="396">
        <v>17</v>
      </c>
      <c r="C7" s="395">
        <v>14</v>
      </c>
      <c r="D7" s="219">
        <v>18</v>
      </c>
      <c r="E7" s="394">
        <v>15</v>
      </c>
      <c r="F7" s="219">
        <v>19</v>
      </c>
      <c r="G7" s="394">
        <v>16</v>
      </c>
      <c r="H7" s="245">
        <v>20</v>
      </c>
      <c r="I7" s="318">
        <v>17</v>
      </c>
      <c r="J7" s="217">
        <v>21</v>
      </c>
      <c r="K7" s="218">
        <v>18</v>
      </c>
      <c r="L7" s="393">
        <v>22</v>
      </c>
      <c r="M7" s="349">
        <v>19</v>
      </c>
      <c r="N7" s="393">
        <v>23</v>
      </c>
      <c r="P7" s="392">
        <v>14</v>
      </c>
      <c r="Q7" s="269">
        <v>21</v>
      </c>
      <c r="R7" s="246">
        <v>15</v>
      </c>
      <c r="S7" s="245">
        <v>22</v>
      </c>
      <c r="T7" s="248">
        <v>16</v>
      </c>
      <c r="U7" s="247">
        <v>23</v>
      </c>
      <c r="V7" s="248">
        <v>17</v>
      </c>
      <c r="W7" s="247">
        <v>24</v>
      </c>
      <c r="X7" s="248">
        <v>18</v>
      </c>
      <c r="Y7" s="245">
        <v>25</v>
      </c>
      <c r="Z7" s="248">
        <v>19</v>
      </c>
      <c r="AA7" s="247">
        <v>26</v>
      </c>
      <c r="AB7" s="310">
        <v>20</v>
      </c>
      <c r="AC7" s="378">
        <v>27</v>
      </c>
      <c r="AE7" s="218">
        <v>9</v>
      </c>
      <c r="AF7" s="219">
        <v>18</v>
      </c>
      <c r="AG7" s="218">
        <v>10</v>
      </c>
      <c r="AH7" s="219">
        <v>19</v>
      </c>
      <c r="AI7" s="391">
        <v>11</v>
      </c>
      <c r="AJ7" s="390">
        <v>20</v>
      </c>
      <c r="AK7" s="218">
        <v>12</v>
      </c>
      <c r="AL7" s="219">
        <v>21</v>
      </c>
      <c r="AM7" s="270">
        <v>13</v>
      </c>
      <c r="AN7" s="219">
        <v>22</v>
      </c>
      <c r="AO7" s="270">
        <v>14</v>
      </c>
      <c r="AP7" s="219">
        <v>23</v>
      </c>
      <c r="AQ7" s="349">
        <v>15</v>
      </c>
      <c r="AR7" s="244">
        <v>24</v>
      </c>
      <c r="AS7" s="169"/>
      <c r="AT7" s="250">
        <v>11</v>
      </c>
      <c r="AU7" s="249">
        <v>22</v>
      </c>
      <c r="AV7" s="250">
        <v>12</v>
      </c>
      <c r="AW7" s="358">
        <v>23</v>
      </c>
      <c r="AX7" s="250">
        <v>13</v>
      </c>
      <c r="AY7" s="249">
        <v>24</v>
      </c>
      <c r="AZ7" s="250">
        <v>14</v>
      </c>
      <c r="BA7" s="249">
        <v>25</v>
      </c>
      <c r="BB7" s="250">
        <v>15</v>
      </c>
      <c r="BC7" s="249">
        <v>26</v>
      </c>
      <c r="BD7" s="278">
        <v>16</v>
      </c>
      <c r="BE7" s="277">
        <v>27</v>
      </c>
      <c r="BF7" s="195">
        <v>17</v>
      </c>
      <c r="BG7" s="249">
        <v>28</v>
      </c>
      <c r="BI7" s="278">
        <v>15</v>
      </c>
      <c r="BJ7" s="277">
        <v>25</v>
      </c>
      <c r="BK7" s="371">
        <v>16</v>
      </c>
      <c r="BL7" s="370">
        <v>26</v>
      </c>
      <c r="BM7" s="371">
        <v>17</v>
      </c>
      <c r="BN7" s="370">
        <v>27</v>
      </c>
      <c r="BO7" s="371">
        <v>18</v>
      </c>
      <c r="BP7" s="370">
        <v>28</v>
      </c>
      <c r="BQ7" s="389">
        <v>19</v>
      </c>
      <c r="BR7" s="388">
        <v>29</v>
      </c>
      <c r="BS7" s="389">
        <v>20</v>
      </c>
      <c r="BT7" s="388">
        <v>1</v>
      </c>
      <c r="BU7" s="389">
        <v>21</v>
      </c>
      <c r="BV7" s="388">
        <v>2</v>
      </c>
      <c r="BX7" s="294">
        <v>10</v>
      </c>
      <c r="BY7" s="387">
        <v>23</v>
      </c>
      <c r="BZ7" s="294">
        <v>11</v>
      </c>
      <c r="CA7" s="387">
        <v>24</v>
      </c>
      <c r="CB7" s="294">
        <v>12</v>
      </c>
      <c r="CC7" s="387">
        <v>25</v>
      </c>
      <c r="CD7" s="294">
        <v>13</v>
      </c>
      <c r="CE7" s="387">
        <v>26</v>
      </c>
      <c r="CF7" s="294">
        <v>14</v>
      </c>
      <c r="CG7" s="387">
        <v>27</v>
      </c>
      <c r="CH7" s="294">
        <v>15</v>
      </c>
      <c r="CI7" s="387">
        <v>28</v>
      </c>
      <c r="CJ7" s="294">
        <v>16</v>
      </c>
      <c r="CK7" s="387">
        <v>29</v>
      </c>
    </row>
    <row r="8" spans="1:89 16342:16384" s="168" customFormat="1" ht="26.1" customHeight="1">
      <c r="A8" s="386">
        <v>20</v>
      </c>
      <c r="B8" s="245">
        <v>24</v>
      </c>
      <c r="C8" s="385">
        <v>21</v>
      </c>
      <c r="D8" s="217">
        <v>25</v>
      </c>
      <c r="E8" s="218">
        <v>22</v>
      </c>
      <c r="F8" s="219">
        <v>26</v>
      </c>
      <c r="G8" s="349">
        <v>23</v>
      </c>
      <c r="H8" s="245">
        <v>27</v>
      </c>
      <c r="I8" s="218">
        <v>24</v>
      </c>
      <c r="J8" s="217">
        <v>28</v>
      </c>
      <c r="K8" s="384">
        <v>25</v>
      </c>
      <c r="L8" s="383">
        <v>29</v>
      </c>
      <c r="M8" s="382">
        <v>26</v>
      </c>
      <c r="N8" s="381">
        <v>1</v>
      </c>
      <c r="P8" s="248">
        <v>21</v>
      </c>
      <c r="Q8" s="219">
        <v>28</v>
      </c>
      <c r="R8" s="380">
        <v>22</v>
      </c>
      <c r="S8" s="379">
        <v>29</v>
      </c>
      <c r="T8" s="380">
        <v>23</v>
      </c>
      <c r="U8" s="379">
        <v>1</v>
      </c>
      <c r="V8" s="380">
        <v>24</v>
      </c>
      <c r="W8" s="379">
        <v>2</v>
      </c>
      <c r="X8" s="380">
        <v>25</v>
      </c>
      <c r="Y8" s="379">
        <v>3</v>
      </c>
      <c r="Z8" s="380">
        <v>26</v>
      </c>
      <c r="AA8" s="379">
        <v>4</v>
      </c>
      <c r="AB8" s="380">
        <v>27</v>
      </c>
      <c r="AC8" s="378">
        <v>5</v>
      </c>
      <c r="AE8" s="218">
        <v>16</v>
      </c>
      <c r="AF8" s="219">
        <v>25</v>
      </c>
      <c r="AG8" s="377">
        <v>17</v>
      </c>
      <c r="AH8" s="247">
        <v>26</v>
      </c>
      <c r="AI8" s="376">
        <v>18</v>
      </c>
      <c r="AJ8" s="375">
        <v>27</v>
      </c>
      <c r="AK8" s="248">
        <v>19</v>
      </c>
      <c r="AL8" s="247">
        <v>28</v>
      </c>
      <c r="AM8" s="248">
        <v>20</v>
      </c>
      <c r="AN8" s="247">
        <v>29</v>
      </c>
      <c r="AO8" s="248">
        <v>21</v>
      </c>
      <c r="AP8" s="247">
        <v>30</v>
      </c>
      <c r="AQ8" s="195">
        <v>22</v>
      </c>
      <c r="AR8" s="219">
        <v>1</v>
      </c>
      <c r="AS8" s="169"/>
      <c r="AT8" s="448">
        <v>18</v>
      </c>
      <c r="AU8" s="227">
        <v>29</v>
      </c>
      <c r="AV8" s="374">
        <v>19</v>
      </c>
      <c r="AW8" s="373">
        <v>30</v>
      </c>
      <c r="AX8" s="250">
        <v>20</v>
      </c>
      <c r="AY8" s="372">
        <v>1</v>
      </c>
      <c r="AZ8" s="250">
        <v>21</v>
      </c>
      <c r="BA8" s="249">
        <v>2</v>
      </c>
      <c r="BB8" s="250">
        <v>22</v>
      </c>
      <c r="BC8" s="249">
        <v>3</v>
      </c>
      <c r="BD8" s="368">
        <v>23</v>
      </c>
      <c r="BE8" s="249">
        <v>4</v>
      </c>
      <c r="BF8" s="369">
        <v>24</v>
      </c>
      <c r="BG8" s="249">
        <v>5</v>
      </c>
      <c r="BI8" s="278">
        <v>22</v>
      </c>
      <c r="BJ8" s="277">
        <v>3</v>
      </c>
      <c r="BK8" s="371">
        <v>23</v>
      </c>
      <c r="BL8" s="370">
        <v>4</v>
      </c>
      <c r="BM8" s="371">
        <v>24</v>
      </c>
      <c r="BN8" s="370">
        <v>5</v>
      </c>
      <c r="BO8" s="371">
        <v>25</v>
      </c>
      <c r="BP8" s="370">
        <v>6</v>
      </c>
      <c r="BQ8" s="371">
        <v>26</v>
      </c>
      <c r="BR8" s="370">
        <v>7</v>
      </c>
      <c r="BS8" s="371">
        <v>27</v>
      </c>
      <c r="BT8" s="370">
        <v>8</v>
      </c>
      <c r="BU8" s="371">
        <v>28</v>
      </c>
      <c r="BV8" s="249">
        <v>9</v>
      </c>
      <c r="BX8" s="250">
        <v>17</v>
      </c>
      <c r="BY8" s="354">
        <v>30</v>
      </c>
      <c r="BZ8" s="368">
        <v>18</v>
      </c>
      <c r="CA8" s="367">
        <v>1</v>
      </c>
      <c r="CB8" s="368">
        <v>19</v>
      </c>
      <c r="CC8" s="367">
        <v>2</v>
      </c>
      <c r="CD8" s="368">
        <v>20</v>
      </c>
      <c r="CE8" s="367">
        <v>3</v>
      </c>
      <c r="CF8" s="368">
        <v>21</v>
      </c>
      <c r="CG8" s="367">
        <v>4</v>
      </c>
      <c r="CH8" s="368">
        <v>22</v>
      </c>
      <c r="CI8" s="367">
        <v>5</v>
      </c>
      <c r="CJ8" s="368">
        <v>23</v>
      </c>
      <c r="CK8" s="367">
        <v>6</v>
      </c>
    </row>
    <row r="9" spans="1:89 16342:16384" s="168" customFormat="1" ht="26.1" customHeight="1">
      <c r="A9" s="366">
        <v>27</v>
      </c>
      <c r="B9" s="245">
        <v>2</v>
      </c>
      <c r="C9" s="366">
        <v>28</v>
      </c>
      <c r="D9" s="245">
        <v>3</v>
      </c>
      <c r="E9" s="248">
        <v>29</v>
      </c>
      <c r="F9" s="247">
        <v>4</v>
      </c>
      <c r="G9" s="246">
        <v>30</v>
      </c>
      <c r="H9" s="245">
        <v>5</v>
      </c>
      <c r="I9" s="218">
        <v>31</v>
      </c>
      <c r="J9" s="217">
        <v>6</v>
      </c>
      <c r="K9" s="467"/>
      <c r="L9" s="468"/>
      <c r="M9" s="509"/>
      <c r="N9" s="510"/>
      <c r="P9" s="591">
        <v>28</v>
      </c>
      <c r="Q9" s="442">
        <v>6</v>
      </c>
      <c r="R9" s="591">
        <v>29</v>
      </c>
      <c r="S9" s="592">
        <v>7</v>
      </c>
      <c r="T9" s="593">
        <v>30</v>
      </c>
      <c r="U9" s="365">
        <v>8</v>
      </c>
      <c r="V9" s="230"/>
      <c r="W9" s="229"/>
      <c r="X9" s="230"/>
      <c r="Y9" s="231"/>
      <c r="Z9" s="230"/>
      <c r="AA9" s="229"/>
      <c r="AB9" s="364"/>
      <c r="AC9" s="363"/>
      <c r="AE9" s="218">
        <v>23</v>
      </c>
      <c r="AF9" s="219">
        <v>2</v>
      </c>
      <c r="AG9" s="362">
        <v>24</v>
      </c>
      <c r="AH9" s="361">
        <v>3</v>
      </c>
      <c r="AI9" s="362">
        <v>25</v>
      </c>
      <c r="AJ9" s="361">
        <v>4</v>
      </c>
      <c r="AK9" s="362">
        <v>26</v>
      </c>
      <c r="AL9" s="361">
        <v>5</v>
      </c>
      <c r="AM9" s="362">
        <v>27</v>
      </c>
      <c r="AN9" s="361">
        <v>6</v>
      </c>
      <c r="AO9" s="362">
        <v>28</v>
      </c>
      <c r="AP9" s="361">
        <v>7</v>
      </c>
      <c r="AQ9" s="360">
        <v>29</v>
      </c>
      <c r="AR9" s="359">
        <v>8</v>
      </c>
      <c r="AS9" s="169"/>
      <c r="AT9" s="250">
        <v>25</v>
      </c>
      <c r="AU9" s="249">
        <v>6</v>
      </c>
      <c r="AV9" s="250">
        <v>26</v>
      </c>
      <c r="AW9" s="358">
        <v>7</v>
      </c>
      <c r="AX9" s="250">
        <v>27</v>
      </c>
      <c r="AY9" s="249">
        <v>8</v>
      </c>
      <c r="AZ9" s="250">
        <v>28</v>
      </c>
      <c r="BA9" s="249">
        <v>9</v>
      </c>
      <c r="BB9" s="250">
        <v>29</v>
      </c>
      <c r="BC9" s="249">
        <v>10</v>
      </c>
      <c r="BD9" s="250">
        <v>30</v>
      </c>
      <c r="BE9" s="249">
        <v>11</v>
      </c>
      <c r="BF9" s="194">
        <v>31</v>
      </c>
      <c r="BG9" s="357">
        <v>12</v>
      </c>
      <c r="BI9" s="371">
        <v>29</v>
      </c>
      <c r="BJ9" s="277">
        <v>10</v>
      </c>
      <c r="BK9" s="206">
        <v>30</v>
      </c>
      <c r="BL9" s="227">
        <v>11</v>
      </c>
      <c r="BM9" s="209">
        <v>31</v>
      </c>
      <c r="BN9" s="208">
        <v>12</v>
      </c>
      <c r="BO9" s="356"/>
      <c r="BP9" s="355"/>
      <c r="BQ9" s="356"/>
      <c r="BR9" s="355"/>
      <c r="BS9" s="356"/>
      <c r="BT9" s="355"/>
      <c r="BU9" s="356"/>
      <c r="BV9" s="355"/>
      <c r="BX9" s="250">
        <v>24</v>
      </c>
      <c r="BY9" s="249">
        <v>7</v>
      </c>
      <c r="BZ9" s="362">
        <v>25</v>
      </c>
      <c r="CA9" s="361">
        <v>8</v>
      </c>
      <c r="CB9" s="362">
        <v>26</v>
      </c>
      <c r="CC9" s="361">
        <v>9</v>
      </c>
      <c r="CD9" s="353">
        <v>27</v>
      </c>
      <c r="CE9" s="352">
        <v>10</v>
      </c>
      <c r="CF9" s="351">
        <v>28</v>
      </c>
      <c r="CG9" s="350">
        <v>11</v>
      </c>
      <c r="CH9" s="351">
        <v>29</v>
      </c>
      <c r="CI9" s="350">
        <v>12</v>
      </c>
      <c r="CJ9" s="351">
        <v>30</v>
      </c>
      <c r="CK9" s="350">
        <v>13</v>
      </c>
    </row>
    <row r="10" spans="1:89 16342:16384" s="168" customFormat="1" ht="26.1" customHeight="1">
      <c r="A10" s="477" t="s">
        <v>285</v>
      </c>
      <c r="B10" s="477"/>
      <c r="C10" s="477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7"/>
      <c r="P10" s="477" t="s">
        <v>323</v>
      </c>
      <c r="Q10" s="477"/>
      <c r="R10" s="477"/>
      <c r="S10" s="477"/>
      <c r="T10" s="477"/>
      <c r="U10" s="477"/>
      <c r="V10" s="477"/>
      <c r="W10" s="477"/>
      <c r="X10" s="477"/>
      <c r="Y10" s="477"/>
      <c r="Z10" s="477"/>
      <c r="AA10" s="477"/>
      <c r="AB10" s="477"/>
      <c r="AC10" s="477"/>
      <c r="AE10" s="349">
        <v>30</v>
      </c>
      <c r="AF10" s="244">
        <v>9</v>
      </c>
      <c r="AG10" s="469"/>
      <c r="AH10" s="508"/>
      <c r="AI10" s="469"/>
      <c r="AJ10" s="470"/>
      <c r="AK10" s="469"/>
      <c r="AL10" s="508"/>
      <c r="AM10" s="469"/>
      <c r="AN10" s="508"/>
      <c r="AO10" s="469"/>
      <c r="AP10" s="508"/>
      <c r="AQ10" s="469"/>
      <c r="AR10" s="508"/>
      <c r="AS10" s="169"/>
      <c r="AT10" s="505"/>
      <c r="AU10" s="506">
        <v>5</v>
      </c>
      <c r="AV10" s="505"/>
      <c r="AW10" s="506"/>
      <c r="AX10" s="505"/>
      <c r="AY10" s="506"/>
      <c r="AZ10" s="505"/>
      <c r="BA10" s="506"/>
      <c r="BB10" s="505"/>
      <c r="BC10" s="506"/>
      <c r="BD10" s="505"/>
      <c r="BE10" s="506"/>
      <c r="BF10" s="505"/>
      <c r="BG10" s="506"/>
      <c r="BI10" s="250"/>
      <c r="BJ10" s="348"/>
      <c r="BK10" s="250"/>
      <c r="BL10" s="348"/>
      <c r="BM10" s="347"/>
      <c r="BN10" s="287"/>
      <c r="BO10" s="347"/>
      <c r="BP10" s="287"/>
      <c r="BQ10" s="347"/>
      <c r="BR10" s="287"/>
      <c r="BS10" s="347"/>
      <c r="BT10" s="287"/>
      <c r="BU10" s="346"/>
      <c r="BV10" s="287"/>
      <c r="BX10" s="206">
        <v>31</v>
      </c>
      <c r="BY10" s="299">
        <v>14</v>
      </c>
      <c r="BZ10" s="207"/>
      <c r="CA10" s="343"/>
      <c r="CB10" s="207"/>
      <c r="CC10" s="343"/>
      <c r="CD10" s="345"/>
      <c r="CE10" s="344"/>
      <c r="CF10" s="207"/>
      <c r="CG10" s="343"/>
      <c r="CH10" s="207"/>
      <c r="CI10" s="343"/>
      <c r="CJ10" s="207"/>
      <c r="CK10" s="342"/>
      <c r="XDN10" s="167"/>
      <c r="XDO10" s="167"/>
      <c r="XDP10" s="167"/>
      <c r="XDQ10" s="167"/>
      <c r="XDR10" s="167"/>
      <c r="XDS10" s="167"/>
      <c r="XDT10" s="167"/>
      <c r="XDU10" s="167"/>
      <c r="XDV10" s="167"/>
      <c r="XDW10" s="167"/>
      <c r="XDX10" s="167"/>
      <c r="XDY10" s="167"/>
      <c r="XDZ10" s="167"/>
      <c r="XEA10" s="167"/>
      <c r="XEB10" s="167"/>
      <c r="XEC10" s="167"/>
      <c r="XED10" s="167"/>
      <c r="XEE10" s="167"/>
      <c r="XEF10" s="167"/>
      <c r="XEG10" s="167"/>
      <c r="XEH10" s="167"/>
      <c r="XEI10" s="167"/>
      <c r="XEJ10" s="167"/>
      <c r="XEK10" s="167"/>
      <c r="XEL10" s="167"/>
      <c r="XEM10" s="167"/>
      <c r="XEN10" s="167"/>
      <c r="XEO10" s="167"/>
      <c r="XEP10" s="167"/>
      <c r="XEQ10" s="167"/>
      <c r="XER10" s="167"/>
      <c r="XES10" s="167"/>
      <c r="XET10" s="167"/>
      <c r="XEU10" s="167"/>
      <c r="XEV10" s="167"/>
      <c r="XEW10" s="167"/>
      <c r="XEX10" s="167"/>
      <c r="XEY10" s="167"/>
      <c r="XEZ10" s="167"/>
      <c r="XFA10" s="167"/>
      <c r="XFB10" s="167"/>
      <c r="XFC10" s="167"/>
      <c r="XFD10" s="167"/>
    </row>
    <row r="11" spans="1:89 16342:16384" s="168" customFormat="1" ht="14.1" customHeight="1">
      <c r="A11" s="507" t="s">
        <v>322</v>
      </c>
      <c r="B11" s="507"/>
      <c r="C11" s="507"/>
      <c r="D11" s="507"/>
      <c r="E11" s="507"/>
      <c r="F11" s="507"/>
      <c r="G11" s="507"/>
      <c r="P11" s="475" t="s">
        <v>321</v>
      </c>
      <c r="Q11" s="475"/>
      <c r="R11" s="475"/>
      <c r="S11" s="475"/>
      <c r="T11" s="475"/>
      <c r="U11" s="475"/>
      <c r="V11" s="475"/>
      <c r="W11" s="475"/>
      <c r="AE11" s="500" t="s">
        <v>319</v>
      </c>
      <c r="AF11" s="501"/>
      <c r="AG11" s="501"/>
      <c r="AH11" s="501"/>
      <c r="AI11" s="501"/>
      <c r="AJ11" s="501"/>
      <c r="AK11" s="501"/>
      <c r="AL11" s="501"/>
      <c r="AM11" s="501"/>
      <c r="AN11" s="501"/>
      <c r="AO11" s="501"/>
      <c r="AP11" s="501"/>
      <c r="AQ11" s="501"/>
      <c r="AR11" s="502"/>
      <c r="AS11" s="169"/>
      <c r="AT11" s="500" t="s">
        <v>286</v>
      </c>
      <c r="AU11" s="501"/>
      <c r="AV11" s="501"/>
      <c r="AW11" s="501"/>
      <c r="AX11" s="501"/>
      <c r="AY11" s="501"/>
      <c r="AZ11" s="501"/>
      <c r="BA11" s="501"/>
      <c r="BB11" s="501"/>
      <c r="BC11" s="501"/>
      <c r="BD11" s="501"/>
      <c r="BE11" s="501"/>
      <c r="BF11" s="501"/>
      <c r="BG11" s="502"/>
      <c r="BI11" s="500" t="s">
        <v>320</v>
      </c>
      <c r="BJ11" s="501"/>
      <c r="BK11" s="501"/>
      <c r="BL11" s="501"/>
      <c r="BM11" s="501"/>
      <c r="BN11" s="501"/>
      <c r="BO11" s="501"/>
      <c r="BP11" s="501"/>
      <c r="BQ11" s="501"/>
      <c r="BR11" s="501"/>
      <c r="BS11" s="501"/>
      <c r="BT11" s="501"/>
      <c r="BU11" s="501"/>
      <c r="BV11" s="502"/>
      <c r="BX11" s="500" t="s">
        <v>319</v>
      </c>
      <c r="BY11" s="501"/>
      <c r="BZ11" s="501"/>
      <c r="CA11" s="501"/>
      <c r="CB11" s="501"/>
      <c r="CC11" s="501"/>
      <c r="CD11" s="501"/>
      <c r="CE11" s="501"/>
      <c r="CF11" s="501"/>
      <c r="CG11" s="501"/>
      <c r="CH11" s="501"/>
      <c r="CI11" s="501"/>
      <c r="CJ11" s="501"/>
      <c r="CK11" s="502"/>
    </row>
    <row r="12" spans="1:89 16342:16384" s="168" customFormat="1" ht="15.95" customHeight="1">
      <c r="A12" s="341">
        <v>10</v>
      </c>
      <c r="B12" s="174" t="s">
        <v>318</v>
      </c>
      <c r="C12" s="174"/>
      <c r="D12" s="174"/>
      <c r="E12" s="174"/>
      <c r="F12" s="174"/>
      <c r="G12" s="202"/>
      <c r="H12" s="197"/>
      <c r="I12" s="338"/>
      <c r="J12" s="338"/>
      <c r="K12" s="338"/>
      <c r="L12" s="338"/>
      <c r="M12" s="338"/>
      <c r="N12" s="202"/>
      <c r="P12" s="340">
        <v>5</v>
      </c>
      <c r="Q12" s="168" t="s">
        <v>317</v>
      </c>
      <c r="S12" s="329"/>
      <c r="T12" s="329"/>
      <c r="U12" s="329"/>
      <c r="V12" s="329"/>
      <c r="W12" s="328"/>
      <c r="X12" s="197"/>
      <c r="Y12" s="337"/>
      <c r="Z12" s="337"/>
      <c r="AA12" s="337"/>
      <c r="AB12" s="337"/>
      <c r="AC12" s="337"/>
      <c r="AE12" s="475" t="s">
        <v>316</v>
      </c>
      <c r="AF12" s="475"/>
      <c r="AG12" s="475"/>
      <c r="AH12" s="475"/>
      <c r="AI12" s="475"/>
      <c r="AJ12" s="475"/>
      <c r="AK12" s="475"/>
      <c r="AL12" s="475"/>
      <c r="AM12" s="475"/>
      <c r="AT12" s="475" t="s">
        <v>315</v>
      </c>
      <c r="AU12" s="475"/>
      <c r="AV12" s="475"/>
      <c r="AW12" s="475"/>
      <c r="AX12" s="475"/>
      <c r="AY12" s="475"/>
      <c r="AZ12" s="475"/>
      <c r="BA12" s="503"/>
      <c r="BB12" s="503"/>
      <c r="BC12" s="503"/>
      <c r="BD12" s="503"/>
      <c r="BE12" s="503"/>
      <c r="BF12" s="503"/>
      <c r="BG12" s="503"/>
      <c r="BI12" s="475" t="s">
        <v>314</v>
      </c>
      <c r="BJ12" s="475"/>
      <c r="BK12" s="475"/>
      <c r="BL12" s="475"/>
      <c r="BM12" s="475"/>
      <c r="BN12" s="475"/>
      <c r="BX12" s="504" t="s">
        <v>313</v>
      </c>
      <c r="BY12" s="504"/>
      <c r="BZ12" s="504"/>
      <c r="CA12" s="504"/>
      <c r="CB12" s="504"/>
      <c r="CC12" s="504"/>
    </row>
    <row r="13" spans="1:89 16342:16384" s="168" customFormat="1" ht="15.95" customHeight="1">
      <c r="A13" s="339">
        <v>13</v>
      </c>
      <c r="B13" s="192" t="s">
        <v>312</v>
      </c>
      <c r="C13" s="174"/>
      <c r="D13" s="174"/>
      <c r="E13" s="174"/>
      <c r="F13" s="174"/>
      <c r="G13" s="202"/>
      <c r="H13" s="197"/>
      <c r="I13" s="338"/>
      <c r="J13" s="338"/>
      <c r="K13" s="338"/>
      <c r="L13" s="338"/>
      <c r="M13" s="338"/>
      <c r="N13" s="202"/>
      <c r="P13" s="283">
        <v>12</v>
      </c>
      <c r="Q13" s="176" t="s">
        <v>262</v>
      </c>
      <c r="U13" s="329"/>
      <c r="V13" s="329"/>
      <c r="W13" s="328"/>
      <c r="X13" s="197"/>
      <c r="Y13" s="337"/>
      <c r="Z13" s="337"/>
      <c r="AA13" s="337"/>
      <c r="AB13" s="337"/>
      <c r="AC13" s="337"/>
      <c r="AE13" s="335"/>
      <c r="AF13" s="335"/>
      <c r="AG13" s="335"/>
      <c r="AH13" s="335"/>
      <c r="AI13" s="335"/>
      <c r="AJ13" s="335"/>
      <c r="AK13" s="335"/>
      <c r="AL13" s="335"/>
      <c r="AM13" s="335"/>
      <c r="AT13" s="335"/>
      <c r="AU13" s="335"/>
      <c r="AV13" s="335"/>
      <c r="AW13" s="335"/>
      <c r="AX13" s="335"/>
      <c r="AY13" s="335"/>
      <c r="AZ13" s="335"/>
      <c r="BA13" s="336"/>
      <c r="BB13" s="336"/>
      <c r="BC13" s="336"/>
      <c r="BD13" s="336"/>
      <c r="BE13" s="336"/>
      <c r="BF13" s="336"/>
      <c r="BG13" s="336"/>
      <c r="BI13" s="335"/>
      <c r="BJ13" s="335"/>
      <c r="BK13" s="335"/>
      <c r="BL13" s="335"/>
      <c r="BM13" s="335"/>
      <c r="BN13" s="335"/>
      <c r="BX13" s="334"/>
      <c r="BY13" s="334"/>
      <c r="BZ13" s="334"/>
      <c r="CA13" s="334"/>
      <c r="CB13" s="334"/>
      <c r="CC13" s="334"/>
    </row>
    <row r="14" spans="1:89 16342:16384" s="168" customFormat="1" ht="15.95" customHeight="1">
      <c r="A14" s="333">
        <v>14</v>
      </c>
      <c r="B14" s="332" t="s">
        <v>311</v>
      </c>
      <c r="C14" s="331"/>
      <c r="D14" s="331"/>
      <c r="E14" s="331"/>
      <c r="F14" s="331"/>
      <c r="G14" s="322"/>
      <c r="H14" s="202"/>
      <c r="I14" s="202"/>
      <c r="J14" s="330"/>
      <c r="K14" s="330"/>
      <c r="L14" s="330"/>
      <c r="M14" s="330"/>
      <c r="N14" s="330"/>
      <c r="P14" s="310">
        <v>20</v>
      </c>
      <c r="Q14" s="176" t="s">
        <v>271</v>
      </c>
      <c r="S14" s="329"/>
      <c r="T14" s="329"/>
      <c r="U14" s="174"/>
      <c r="V14" s="174"/>
      <c r="X14" s="328"/>
      <c r="Y14" s="328"/>
      <c r="Z14" s="328"/>
      <c r="AA14" s="328"/>
      <c r="AB14" s="328"/>
      <c r="AC14" s="328"/>
      <c r="AE14" s="194">
        <v>1</v>
      </c>
      <c r="AF14" s="192" t="s">
        <v>270</v>
      </c>
      <c r="AJ14" s="174"/>
      <c r="AK14" s="174"/>
      <c r="AL14" s="174"/>
      <c r="AS14" s="327"/>
      <c r="AT14" s="326">
        <v>5</v>
      </c>
      <c r="AU14" s="168" t="s">
        <v>310</v>
      </c>
      <c r="AW14" s="181"/>
      <c r="AX14" s="174"/>
      <c r="AY14" s="174"/>
      <c r="AZ14" s="174"/>
      <c r="BB14" s="449">
        <v>16</v>
      </c>
      <c r="BC14" s="319" t="s">
        <v>309</v>
      </c>
      <c r="BD14" s="319"/>
      <c r="BE14" s="319"/>
      <c r="BF14" s="174"/>
      <c r="BI14" s="200">
        <v>7</v>
      </c>
      <c r="BJ14" s="176" t="s">
        <v>308</v>
      </c>
      <c r="BX14" s="194">
        <v>2</v>
      </c>
      <c r="BY14" s="176" t="s">
        <v>308</v>
      </c>
    </row>
    <row r="15" spans="1:89 16342:16384" s="168" customFormat="1" ht="15.95" customHeight="1">
      <c r="A15" s="325" t="s">
        <v>307</v>
      </c>
      <c r="B15" s="324" t="s">
        <v>306</v>
      </c>
      <c r="C15" s="324"/>
      <c r="D15" s="324"/>
      <c r="E15" s="324"/>
      <c r="F15" s="324"/>
      <c r="G15" s="323"/>
      <c r="H15" s="322"/>
      <c r="I15" s="322"/>
      <c r="P15" s="441" t="s">
        <v>348</v>
      </c>
      <c r="Q15" s="171" t="s">
        <v>305</v>
      </c>
      <c r="S15" s="174"/>
      <c r="T15" s="174"/>
      <c r="U15" s="174"/>
      <c r="V15" s="174"/>
      <c r="AE15" s="445" t="s">
        <v>353</v>
      </c>
      <c r="AF15" s="321" t="s">
        <v>304</v>
      </c>
      <c r="AG15" s="320"/>
      <c r="AH15" s="174"/>
      <c r="AI15" s="174"/>
      <c r="AJ15" s="174"/>
      <c r="AK15" s="174"/>
      <c r="AL15" s="174"/>
      <c r="AT15" s="195">
        <v>17</v>
      </c>
      <c r="AU15" s="192" t="s">
        <v>271</v>
      </c>
      <c r="AV15" s="181"/>
      <c r="AW15" s="172"/>
      <c r="AX15" s="174"/>
      <c r="AY15" s="174"/>
      <c r="AZ15" s="174"/>
      <c r="BA15" s="174"/>
      <c r="BB15" s="194">
        <v>31</v>
      </c>
      <c r="BC15" s="174" t="s">
        <v>270</v>
      </c>
      <c r="BD15" s="174"/>
      <c r="BE15" s="319"/>
      <c r="BF15" s="174"/>
      <c r="BI15" s="454" t="s">
        <v>357</v>
      </c>
      <c r="BJ15" s="171" t="s">
        <v>303</v>
      </c>
      <c r="BK15" s="174"/>
      <c r="BX15" s="203" t="s">
        <v>302</v>
      </c>
      <c r="BY15" s="183" t="s">
        <v>301</v>
      </c>
    </row>
    <row r="16" spans="1:89 16342:16384" s="168" customFormat="1" ht="15.95" customHeight="1">
      <c r="A16" s="318">
        <v>17</v>
      </c>
      <c r="B16" s="174" t="s">
        <v>300</v>
      </c>
      <c r="C16" s="174"/>
      <c r="D16" s="174"/>
      <c r="E16" s="174"/>
      <c r="F16" s="174"/>
      <c r="H16" s="317"/>
      <c r="I16" s="317"/>
      <c r="J16" s="317"/>
      <c r="K16" s="317"/>
      <c r="L16" s="317"/>
      <c r="M16" s="317"/>
      <c r="N16" s="317"/>
      <c r="P16" s="443" t="s">
        <v>349</v>
      </c>
      <c r="Q16" s="176" t="s">
        <v>350</v>
      </c>
      <c r="R16" s="174"/>
      <c r="AE16" s="316">
        <v>17</v>
      </c>
      <c r="AF16" s="174" t="s">
        <v>299</v>
      </c>
      <c r="AG16" s="174"/>
      <c r="AH16" s="174"/>
      <c r="AI16" s="174"/>
      <c r="AJ16" s="174"/>
      <c r="AK16" s="174"/>
      <c r="AL16" s="174"/>
      <c r="AO16" s="315"/>
      <c r="AZ16" s="174"/>
      <c r="BA16" s="174"/>
      <c r="BE16" s="174"/>
      <c r="BF16" s="174"/>
      <c r="BI16" s="314" t="s">
        <v>298</v>
      </c>
      <c r="BJ16" s="174" t="s">
        <v>297</v>
      </c>
      <c r="BK16" s="174"/>
      <c r="BX16" s="313" t="s">
        <v>358</v>
      </c>
      <c r="BY16" s="171" t="s">
        <v>296</v>
      </c>
    </row>
    <row r="17" spans="1:89 16342:16384" s="168" customFormat="1" ht="15.95" customHeight="1">
      <c r="A17" s="312"/>
      <c r="B17" s="311"/>
      <c r="C17" s="311"/>
      <c r="D17" s="311"/>
      <c r="E17" s="311"/>
      <c r="F17" s="311"/>
      <c r="G17" s="304"/>
      <c r="H17" s="303"/>
      <c r="I17" s="303"/>
      <c r="J17" s="303"/>
      <c r="K17" s="303"/>
      <c r="L17" s="303"/>
      <c r="M17" s="303"/>
      <c r="N17" s="303"/>
      <c r="P17" s="444">
        <v>28</v>
      </c>
      <c r="Q17" s="176" t="s">
        <v>351</v>
      </c>
      <c r="AE17" s="310">
        <v>22</v>
      </c>
      <c r="AF17" s="176" t="s">
        <v>271</v>
      </c>
      <c r="AG17" s="174"/>
      <c r="AH17" s="174"/>
      <c r="AI17" s="174"/>
      <c r="AJ17" s="174"/>
      <c r="AK17" s="174"/>
      <c r="AL17" s="174"/>
      <c r="AT17" s="309"/>
      <c r="AU17" s="174"/>
      <c r="AV17" s="172"/>
      <c r="AY17" s="174"/>
      <c r="AZ17" s="174"/>
      <c r="BA17" s="174"/>
      <c r="BB17" s="174"/>
      <c r="BC17" s="174"/>
      <c r="BD17" s="174"/>
      <c r="BE17" s="174"/>
      <c r="BF17" s="174"/>
      <c r="BX17" s="308">
        <v>27</v>
      </c>
      <c r="BY17" s="307" t="s">
        <v>295</v>
      </c>
      <c r="BZ17" s="307"/>
    </row>
    <row r="18" spans="1:89 16342:16384" s="168" customFormat="1" ht="12.95" customHeight="1">
      <c r="A18" s="306"/>
      <c r="B18" s="305"/>
      <c r="C18" s="304"/>
      <c r="D18" s="304"/>
      <c r="E18" s="304"/>
      <c r="F18" s="304"/>
      <c r="G18" s="304"/>
      <c r="H18" s="303"/>
      <c r="I18" s="303"/>
      <c r="J18" s="303"/>
      <c r="K18" s="303"/>
      <c r="L18" s="303"/>
      <c r="M18" s="303"/>
      <c r="N18" s="303"/>
      <c r="BA18" s="174"/>
      <c r="BB18" s="174"/>
      <c r="BC18" s="174"/>
      <c r="BD18" s="174"/>
      <c r="BE18" s="174"/>
      <c r="BF18" s="174"/>
      <c r="XDN18" s="167"/>
      <c r="XDO18" s="167"/>
      <c r="XDP18" s="167"/>
      <c r="XDQ18" s="167"/>
      <c r="XDR18" s="167"/>
      <c r="XDS18" s="167"/>
      <c r="XDT18" s="167"/>
      <c r="XDU18" s="167"/>
      <c r="XDV18" s="167"/>
      <c r="XDW18" s="167"/>
      <c r="XDX18" s="167"/>
      <c r="XDY18" s="167"/>
      <c r="XDZ18" s="167"/>
      <c r="XEA18" s="167"/>
      <c r="XEB18" s="167"/>
      <c r="XEC18" s="167"/>
      <c r="XED18" s="167"/>
      <c r="XEE18" s="167"/>
      <c r="XEF18" s="167"/>
      <c r="XEG18" s="167"/>
      <c r="XEH18" s="167"/>
      <c r="XEI18" s="167"/>
      <c r="XEJ18" s="167"/>
      <c r="XEK18" s="167"/>
      <c r="XEL18" s="167"/>
      <c r="XEM18" s="167"/>
      <c r="XEN18" s="167"/>
      <c r="XEO18" s="167"/>
      <c r="XEP18" s="167"/>
      <c r="XEQ18" s="167"/>
      <c r="XER18" s="167"/>
      <c r="XES18" s="167"/>
      <c r="XET18" s="167"/>
      <c r="XEU18" s="167"/>
      <c r="XEV18" s="167"/>
      <c r="XEW18" s="167"/>
      <c r="XEX18" s="167"/>
      <c r="XEY18" s="167"/>
      <c r="XEZ18" s="167"/>
      <c r="XFA18" s="167"/>
      <c r="XFB18" s="167"/>
      <c r="XFC18" s="167"/>
      <c r="XFD18" s="167"/>
    </row>
    <row r="19" spans="1:89 16342:16384" s="168" customFormat="1" ht="24" customHeight="1">
      <c r="A19" s="494" t="s">
        <v>294</v>
      </c>
      <c r="B19" s="495"/>
      <c r="C19" s="495"/>
      <c r="D19" s="495"/>
      <c r="E19" s="495"/>
      <c r="F19" s="495"/>
      <c r="G19" s="495"/>
      <c r="H19" s="495"/>
      <c r="I19" s="495"/>
      <c r="J19" s="495"/>
      <c r="K19" s="495"/>
      <c r="L19" s="495"/>
      <c r="M19" s="495"/>
      <c r="N19" s="495"/>
      <c r="P19" s="496" t="s">
        <v>293</v>
      </c>
      <c r="Q19" s="497"/>
      <c r="R19" s="497"/>
      <c r="S19" s="497"/>
      <c r="T19" s="497"/>
      <c r="U19" s="497"/>
      <c r="V19" s="497"/>
      <c r="W19" s="497"/>
      <c r="X19" s="497"/>
      <c r="Y19" s="497"/>
      <c r="Z19" s="497"/>
      <c r="AA19" s="497"/>
      <c r="AB19" s="497"/>
      <c r="AC19" s="497"/>
      <c r="AE19" s="498" t="s">
        <v>292</v>
      </c>
      <c r="AF19" s="499"/>
      <c r="AG19" s="499"/>
      <c r="AH19" s="499"/>
      <c r="AI19" s="499"/>
      <c r="AJ19" s="499"/>
      <c r="AK19" s="499"/>
      <c r="AL19" s="499"/>
      <c r="AM19" s="499"/>
      <c r="AN19" s="499"/>
      <c r="AO19" s="499"/>
      <c r="AP19" s="499"/>
      <c r="AQ19" s="499"/>
      <c r="AR19" s="499"/>
      <c r="AT19" s="496" t="s">
        <v>291</v>
      </c>
      <c r="AU19" s="496"/>
      <c r="AV19" s="496"/>
      <c r="AW19" s="496"/>
      <c r="AX19" s="496"/>
      <c r="AY19" s="496"/>
      <c r="AZ19" s="496"/>
      <c r="BA19" s="496"/>
      <c r="BB19" s="496"/>
      <c r="BC19" s="496"/>
      <c r="BD19" s="496"/>
      <c r="BE19" s="496"/>
      <c r="BF19" s="496"/>
      <c r="BG19" s="496"/>
      <c r="BI19" s="494" t="s">
        <v>290</v>
      </c>
      <c r="BJ19" s="495"/>
      <c r="BK19" s="495"/>
      <c r="BL19" s="495"/>
      <c r="BM19" s="495"/>
      <c r="BN19" s="495"/>
      <c r="BO19" s="495"/>
      <c r="BP19" s="495"/>
      <c r="BQ19" s="495"/>
      <c r="BR19" s="495"/>
      <c r="BS19" s="495"/>
      <c r="BT19" s="495"/>
      <c r="BU19" s="495"/>
      <c r="BV19" s="495"/>
      <c r="BX19" s="494" t="s">
        <v>289</v>
      </c>
      <c r="BY19" s="495"/>
      <c r="BZ19" s="495"/>
      <c r="CA19" s="495"/>
      <c r="CB19" s="495"/>
      <c r="CC19" s="495"/>
      <c r="CD19" s="495"/>
      <c r="CE19" s="495"/>
      <c r="CF19" s="495"/>
      <c r="CG19" s="495"/>
      <c r="CH19" s="495"/>
      <c r="CI19" s="495"/>
      <c r="CJ19" s="495"/>
      <c r="CK19" s="495"/>
      <c r="XDN19" s="167"/>
      <c r="XDO19" s="167"/>
      <c r="XDP19" s="167"/>
      <c r="XDQ19" s="167"/>
      <c r="XDR19" s="167"/>
      <c r="XDS19" s="167"/>
      <c r="XDT19" s="167"/>
      <c r="XDU19" s="167"/>
      <c r="XDV19" s="167"/>
      <c r="XDW19" s="167"/>
      <c r="XDX19" s="167"/>
      <c r="XDY19" s="167"/>
      <c r="XDZ19" s="167"/>
      <c r="XEA19" s="167"/>
      <c r="XEB19" s="167"/>
      <c r="XEC19" s="167"/>
      <c r="XED19" s="167"/>
      <c r="XEE19" s="167"/>
      <c r="XEF19" s="167"/>
      <c r="XEG19" s="167"/>
      <c r="XEH19" s="167"/>
      <c r="XEI19" s="167"/>
      <c r="XEJ19" s="167"/>
      <c r="XEK19" s="167"/>
      <c r="XEL19" s="167"/>
      <c r="XEM19" s="167"/>
      <c r="XEN19" s="167"/>
      <c r="XEO19" s="167"/>
      <c r="XEP19" s="167"/>
      <c r="XEQ19" s="167"/>
      <c r="XER19" s="167"/>
      <c r="XES19" s="167"/>
      <c r="XET19" s="167"/>
      <c r="XEU19" s="167"/>
      <c r="XEV19" s="167"/>
      <c r="XEW19" s="167"/>
      <c r="XEX19" s="167"/>
      <c r="XEY19" s="167"/>
      <c r="XEZ19" s="167"/>
      <c r="XFA19" s="167"/>
      <c r="XFB19" s="167"/>
      <c r="XFC19" s="167"/>
      <c r="XFD19" s="167"/>
    </row>
    <row r="20" spans="1:89 16342:16384" s="168" customFormat="1" ht="18" customHeight="1">
      <c r="A20" s="465" t="s">
        <v>288</v>
      </c>
      <c r="B20" s="466"/>
      <c r="C20" s="465" t="s">
        <v>105</v>
      </c>
      <c r="D20" s="478"/>
      <c r="E20" s="465" t="s">
        <v>104</v>
      </c>
      <c r="F20" s="479"/>
      <c r="G20" s="465" t="s">
        <v>103</v>
      </c>
      <c r="H20" s="478"/>
      <c r="I20" s="465" t="s">
        <v>102</v>
      </c>
      <c r="J20" s="478"/>
      <c r="K20" s="480" t="s">
        <v>101</v>
      </c>
      <c r="L20" s="481"/>
      <c r="M20" s="465" t="s">
        <v>100</v>
      </c>
      <c r="N20" s="466"/>
      <c r="P20" s="465" t="s">
        <v>288</v>
      </c>
      <c r="Q20" s="466"/>
      <c r="R20" s="465" t="s">
        <v>105</v>
      </c>
      <c r="S20" s="478"/>
      <c r="T20" s="465" t="s">
        <v>104</v>
      </c>
      <c r="U20" s="479"/>
      <c r="V20" s="465" t="s">
        <v>103</v>
      </c>
      <c r="W20" s="478"/>
      <c r="X20" s="465" t="s">
        <v>102</v>
      </c>
      <c r="Y20" s="478"/>
      <c r="Z20" s="480" t="s">
        <v>101</v>
      </c>
      <c r="AA20" s="481"/>
      <c r="AB20" s="465" t="s">
        <v>100</v>
      </c>
      <c r="AC20" s="466"/>
      <c r="AE20" s="465" t="s">
        <v>288</v>
      </c>
      <c r="AF20" s="466"/>
      <c r="AG20" s="465" t="s">
        <v>105</v>
      </c>
      <c r="AH20" s="478"/>
      <c r="AI20" s="465" t="s">
        <v>104</v>
      </c>
      <c r="AJ20" s="479"/>
      <c r="AK20" s="465" t="s">
        <v>103</v>
      </c>
      <c r="AL20" s="478"/>
      <c r="AM20" s="465" t="s">
        <v>102</v>
      </c>
      <c r="AN20" s="478"/>
      <c r="AO20" s="480" t="s">
        <v>101</v>
      </c>
      <c r="AP20" s="481"/>
      <c r="AQ20" s="465" t="s">
        <v>100</v>
      </c>
      <c r="AR20" s="466"/>
      <c r="AT20" s="465" t="s">
        <v>288</v>
      </c>
      <c r="AU20" s="466"/>
      <c r="AV20" s="482" t="s">
        <v>105</v>
      </c>
      <c r="AW20" s="482"/>
      <c r="AX20" s="465" t="s">
        <v>104</v>
      </c>
      <c r="AY20" s="479"/>
      <c r="AZ20" s="465" t="s">
        <v>103</v>
      </c>
      <c r="BA20" s="478"/>
      <c r="BB20" s="465" t="s">
        <v>102</v>
      </c>
      <c r="BC20" s="478"/>
      <c r="BD20" s="480" t="s">
        <v>101</v>
      </c>
      <c r="BE20" s="481"/>
      <c r="BF20" s="465" t="s">
        <v>100</v>
      </c>
      <c r="BG20" s="466"/>
      <c r="BI20" s="465" t="s">
        <v>288</v>
      </c>
      <c r="BJ20" s="466"/>
      <c r="BK20" s="465" t="s">
        <v>105</v>
      </c>
      <c r="BL20" s="478"/>
      <c r="BM20" s="465" t="s">
        <v>104</v>
      </c>
      <c r="BN20" s="479"/>
      <c r="BO20" s="465" t="s">
        <v>103</v>
      </c>
      <c r="BP20" s="478"/>
      <c r="BQ20" s="465" t="s">
        <v>102</v>
      </c>
      <c r="BR20" s="478"/>
      <c r="BS20" s="480" t="s">
        <v>101</v>
      </c>
      <c r="BT20" s="481"/>
      <c r="BU20" s="465" t="s">
        <v>100</v>
      </c>
      <c r="BV20" s="466"/>
      <c r="BX20" s="465" t="s">
        <v>288</v>
      </c>
      <c r="BY20" s="466"/>
      <c r="BZ20" s="465" t="s">
        <v>105</v>
      </c>
      <c r="CA20" s="478"/>
      <c r="CB20" s="465" t="s">
        <v>104</v>
      </c>
      <c r="CC20" s="479"/>
      <c r="CD20" s="465" t="s">
        <v>103</v>
      </c>
      <c r="CE20" s="478"/>
      <c r="CF20" s="465" t="s">
        <v>102</v>
      </c>
      <c r="CG20" s="478"/>
      <c r="CH20" s="480" t="s">
        <v>101</v>
      </c>
      <c r="CI20" s="481"/>
      <c r="CJ20" s="465" t="s">
        <v>100</v>
      </c>
      <c r="CK20" s="466"/>
      <c r="XDN20" s="167"/>
      <c r="XDO20" s="167"/>
      <c r="XDP20" s="167"/>
      <c r="XDQ20" s="167"/>
      <c r="XDR20" s="167"/>
      <c r="XDS20" s="167"/>
      <c r="XDT20" s="167"/>
      <c r="XDU20" s="167"/>
      <c r="XDV20" s="167"/>
      <c r="XDW20" s="167"/>
      <c r="XDX20" s="167"/>
      <c r="XDY20" s="167"/>
      <c r="XDZ20" s="167"/>
      <c r="XEA20" s="167"/>
      <c r="XEB20" s="167"/>
      <c r="XEC20" s="167"/>
      <c r="XED20" s="167"/>
      <c r="XEE20" s="167"/>
      <c r="XEF20" s="167"/>
      <c r="XEG20" s="167"/>
      <c r="XEH20" s="167"/>
      <c r="XEI20" s="167"/>
      <c r="XEJ20" s="167"/>
      <c r="XEK20" s="167"/>
      <c r="XEL20" s="167"/>
      <c r="XEM20" s="167"/>
      <c r="XEN20" s="167"/>
      <c r="XEO20" s="167"/>
      <c r="XEP20" s="167"/>
      <c r="XEQ20" s="167"/>
      <c r="XER20" s="167"/>
      <c r="XES20" s="167"/>
      <c r="XET20" s="167"/>
      <c r="XEU20" s="167"/>
      <c r="XEV20" s="167"/>
      <c r="XEW20" s="167"/>
      <c r="XEX20" s="167"/>
      <c r="XEY20" s="167"/>
      <c r="XEZ20" s="167"/>
      <c r="XFA20" s="167"/>
      <c r="XFB20" s="167"/>
      <c r="XFC20" s="167"/>
      <c r="XFD20" s="167"/>
    </row>
    <row r="21" spans="1:89 16342:16384" s="168" customFormat="1" ht="24.95" customHeight="1">
      <c r="A21" s="467"/>
      <c r="B21" s="468"/>
      <c r="C21" s="469"/>
      <c r="D21" s="470"/>
      <c r="E21" s="467"/>
      <c r="F21" s="468"/>
      <c r="G21" s="230"/>
      <c r="H21" s="229"/>
      <c r="I21" s="230"/>
      <c r="J21" s="229"/>
      <c r="K21" s="270">
        <v>1</v>
      </c>
      <c r="L21" s="269">
        <v>7</v>
      </c>
      <c r="M21" s="209">
        <v>2</v>
      </c>
      <c r="N21" s="208">
        <v>8</v>
      </c>
      <c r="P21" s="215"/>
      <c r="Q21" s="214"/>
      <c r="R21" s="302"/>
      <c r="S21" s="214"/>
      <c r="T21" s="215"/>
      <c r="U21" s="214"/>
      <c r="V21" s="218">
        <v>1</v>
      </c>
      <c r="W21" s="219">
        <v>9</v>
      </c>
      <c r="X21" s="218">
        <v>2</v>
      </c>
      <c r="Y21" s="219">
        <v>10</v>
      </c>
      <c r="Z21" s="218">
        <v>3</v>
      </c>
      <c r="AA21" s="219">
        <v>11</v>
      </c>
      <c r="AB21" s="194">
        <v>4</v>
      </c>
      <c r="AC21" s="217">
        <v>12</v>
      </c>
      <c r="AE21" s="230"/>
      <c r="AF21" s="229"/>
      <c r="AG21" s="301">
        <v>1</v>
      </c>
      <c r="AH21" s="300">
        <v>10</v>
      </c>
      <c r="AI21" s="301">
        <v>2</v>
      </c>
      <c r="AJ21" s="300">
        <v>11</v>
      </c>
      <c r="AK21" s="301">
        <v>3</v>
      </c>
      <c r="AL21" s="300">
        <v>12</v>
      </c>
      <c r="AM21" s="301">
        <v>4</v>
      </c>
      <c r="AN21" s="300">
        <v>13</v>
      </c>
      <c r="AO21" s="301">
        <v>5</v>
      </c>
      <c r="AP21" s="300">
        <v>14</v>
      </c>
      <c r="AQ21" s="194">
        <v>6</v>
      </c>
      <c r="AR21" s="269">
        <v>15</v>
      </c>
      <c r="AT21" s="241">
        <v>1</v>
      </c>
      <c r="AU21" s="293">
        <v>13</v>
      </c>
      <c r="AV21" s="452">
        <v>2</v>
      </c>
      <c r="AW21" s="293">
        <v>14</v>
      </c>
      <c r="AX21" s="452">
        <v>3</v>
      </c>
      <c r="AY21" s="293">
        <v>15</v>
      </c>
      <c r="AZ21" s="452">
        <v>4</v>
      </c>
      <c r="BA21" s="293">
        <v>16</v>
      </c>
      <c r="BB21" s="452">
        <v>5</v>
      </c>
      <c r="BC21" s="293">
        <v>17</v>
      </c>
      <c r="BD21" s="452">
        <v>6</v>
      </c>
      <c r="BE21" s="293">
        <v>18</v>
      </c>
      <c r="BF21" s="452">
        <v>7</v>
      </c>
      <c r="BG21" s="293">
        <v>19</v>
      </c>
      <c r="BI21" s="223"/>
      <c r="BJ21" s="222"/>
      <c r="BK21" s="223"/>
      <c r="BL21" s="222"/>
      <c r="BM21" s="223"/>
      <c r="BN21" s="222"/>
      <c r="BO21" s="250">
        <v>1</v>
      </c>
      <c r="BP21" s="249">
        <v>13</v>
      </c>
      <c r="BQ21" s="250">
        <v>2</v>
      </c>
      <c r="BR21" s="249">
        <v>14</v>
      </c>
      <c r="BS21" s="250">
        <v>3</v>
      </c>
      <c r="BT21" s="249">
        <v>15</v>
      </c>
      <c r="BU21" s="200">
        <v>4</v>
      </c>
      <c r="BV21" s="249">
        <v>16</v>
      </c>
      <c r="BX21" s="215"/>
      <c r="BY21" s="214"/>
      <c r="BZ21" s="453">
        <v>1</v>
      </c>
      <c r="CA21" s="458">
        <v>15</v>
      </c>
      <c r="CB21" s="453">
        <v>2</v>
      </c>
      <c r="CC21" s="458">
        <v>16</v>
      </c>
      <c r="CD21" s="453">
        <v>3</v>
      </c>
      <c r="CE21" s="458">
        <v>17</v>
      </c>
      <c r="CF21" s="453">
        <v>4</v>
      </c>
      <c r="CG21" s="458">
        <v>18</v>
      </c>
      <c r="CH21" s="453">
        <v>5</v>
      </c>
      <c r="CI21" s="458">
        <v>19</v>
      </c>
      <c r="CJ21" s="453">
        <v>6</v>
      </c>
      <c r="CK21" s="459">
        <v>20</v>
      </c>
      <c r="XDN21" s="167"/>
      <c r="XDO21" s="167"/>
      <c r="XDP21" s="167"/>
      <c r="XDQ21" s="167"/>
      <c r="XDR21" s="167"/>
      <c r="XDS21" s="167"/>
      <c r="XDT21" s="167"/>
      <c r="XDU21" s="167"/>
      <c r="XDV21" s="167"/>
      <c r="XDW21" s="167"/>
      <c r="XDX21" s="167"/>
      <c r="XDY21" s="167"/>
      <c r="XDZ21" s="167"/>
      <c r="XEA21" s="167"/>
      <c r="XEB21" s="167"/>
      <c r="XEC21" s="167"/>
      <c r="XED21" s="167"/>
      <c r="XEE21" s="167"/>
      <c r="XEF21" s="167"/>
      <c r="XEG21" s="167"/>
      <c r="XEH21" s="167"/>
      <c r="XEI21" s="167"/>
      <c r="XEJ21" s="167"/>
      <c r="XEK21" s="167"/>
      <c r="XEL21" s="167"/>
      <c r="XEM21" s="167"/>
      <c r="XEN21" s="167"/>
      <c r="XEO21" s="167"/>
      <c r="XEP21" s="167"/>
      <c r="XEQ21" s="167"/>
      <c r="XER21" s="167"/>
      <c r="XES21" s="167"/>
      <c r="XET21" s="167"/>
      <c r="XEU21" s="167"/>
      <c r="XEV21" s="167"/>
      <c r="XEW21" s="167"/>
      <c r="XEX21" s="167"/>
      <c r="XEY21" s="167"/>
      <c r="XEZ21" s="167"/>
      <c r="XFA21" s="167"/>
      <c r="XFB21" s="167"/>
      <c r="XFC21" s="167"/>
      <c r="XFD21" s="167"/>
    </row>
    <row r="22" spans="1:89 16342:16384" s="168" customFormat="1" ht="24.95" customHeight="1">
      <c r="A22" s="218">
        <v>3</v>
      </c>
      <c r="B22" s="219">
        <v>9</v>
      </c>
      <c r="C22" s="286">
        <v>4</v>
      </c>
      <c r="D22" s="285">
        <v>10</v>
      </c>
      <c r="E22" s="286">
        <v>5</v>
      </c>
      <c r="F22" s="285">
        <v>11</v>
      </c>
      <c r="G22" s="218">
        <v>6</v>
      </c>
      <c r="H22" s="436">
        <v>12</v>
      </c>
      <c r="I22" s="218">
        <v>7</v>
      </c>
      <c r="J22" s="217">
        <v>13</v>
      </c>
      <c r="K22" s="248">
        <v>8</v>
      </c>
      <c r="L22" s="219">
        <v>14</v>
      </c>
      <c r="M22" s="209">
        <v>9</v>
      </c>
      <c r="N22" s="208">
        <v>15</v>
      </c>
      <c r="P22" s="594">
        <v>5</v>
      </c>
      <c r="Q22" s="284">
        <v>13</v>
      </c>
      <c r="R22" s="283">
        <v>6</v>
      </c>
      <c r="S22" s="284">
        <v>14</v>
      </c>
      <c r="T22" s="283">
        <v>7</v>
      </c>
      <c r="U22" s="284">
        <v>15</v>
      </c>
      <c r="V22" s="283">
        <v>8</v>
      </c>
      <c r="W22" s="284">
        <v>16</v>
      </c>
      <c r="X22" s="283">
        <v>9</v>
      </c>
      <c r="Y22" s="284">
        <v>17</v>
      </c>
      <c r="Z22" s="283">
        <v>10</v>
      </c>
      <c r="AA22" s="284">
        <v>18</v>
      </c>
      <c r="AB22" s="283">
        <v>11</v>
      </c>
      <c r="AC22" s="282">
        <v>19</v>
      </c>
      <c r="AE22" s="270">
        <v>7</v>
      </c>
      <c r="AF22" s="269">
        <v>16</v>
      </c>
      <c r="AG22" s="297">
        <v>8</v>
      </c>
      <c r="AH22" s="298">
        <v>17</v>
      </c>
      <c r="AI22" s="297">
        <v>9</v>
      </c>
      <c r="AJ22" s="298">
        <v>18</v>
      </c>
      <c r="AK22" s="297">
        <v>10</v>
      </c>
      <c r="AL22" s="296">
        <v>19</v>
      </c>
      <c r="AM22" s="297">
        <v>11</v>
      </c>
      <c r="AN22" s="296">
        <v>20</v>
      </c>
      <c r="AO22" s="189">
        <v>12</v>
      </c>
      <c r="AP22" s="295">
        <v>21</v>
      </c>
      <c r="AQ22" s="218">
        <v>13</v>
      </c>
      <c r="AR22" s="219">
        <v>22</v>
      </c>
      <c r="AT22" s="452">
        <v>8</v>
      </c>
      <c r="AU22" s="293">
        <v>20</v>
      </c>
      <c r="AV22" s="452">
        <v>9</v>
      </c>
      <c r="AW22" s="293">
        <v>21</v>
      </c>
      <c r="AX22" s="452">
        <v>10</v>
      </c>
      <c r="AY22" s="293">
        <v>22</v>
      </c>
      <c r="AZ22" s="452">
        <v>11</v>
      </c>
      <c r="BA22" s="293">
        <v>23</v>
      </c>
      <c r="BB22" s="452">
        <v>12</v>
      </c>
      <c r="BC22" s="293">
        <v>24</v>
      </c>
      <c r="BD22" s="452">
        <v>13</v>
      </c>
      <c r="BE22" s="293">
        <v>25</v>
      </c>
      <c r="BF22" s="452">
        <v>14</v>
      </c>
      <c r="BG22" s="293">
        <v>26</v>
      </c>
      <c r="BI22" s="368">
        <v>5</v>
      </c>
      <c r="BJ22" s="249">
        <v>17</v>
      </c>
      <c r="BK22" s="250">
        <v>6</v>
      </c>
      <c r="BL22" s="249">
        <v>18</v>
      </c>
      <c r="BM22" s="250">
        <v>7</v>
      </c>
      <c r="BN22" s="249">
        <v>19</v>
      </c>
      <c r="BO22" s="250">
        <v>8</v>
      </c>
      <c r="BP22" s="249">
        <v>20</v>
      </c>
      <c r="BQ22" s="250">
        <v>9</v>
      </c>
      <c r="BR22" s="249">
        <v>21</v>
      </c>
      <c r="BS22" s="250">
        <v>10</v>
      </c>
      <c r="BT22" s="249">
        <v>22</v>
      </c>
      <c r="BU22" s="195">
        <v>11</v>
      </c>
      <c r="BV22" s="249">
        <v>23</v>
      </c>
      <c r="BX22" s="209">
        <v>7</v>
      </c>
      <c r="BY22" s="208">
        <v>21</v>
      </c>
      <c r="BZ22" s="292">
        <v>8</v>
      </c>
      <c r="CA22" s="291">
        <v>22</v>
      </c>
      <c r="CB22" s="292">
        <v>9</v>
      </c>
      <c r="CC22" s="291">
        <v>23</v>
      </c>
      <c r="CD22" s="292">
        <v>10</v>
      </c>
      <c r="CE22" s="291">
        <v>24</v>
      </c>
      <c r="CF22" s="290">
        <v>11</v>
      </c>
      <c r="CG22" s="291">
        <v>25</v>
      </c>
      <c r="CH22" s="290">
        <v>12</v>
      </c>
      <c r="CI22" s="291">
        <v>26</v>
      </c>
      <c r="CJ22" s="290">
        <v>13</v>
      </c>
      <c r="CK22" s="289">
        <v>27</v>
      </c>
      <c r="XDN22" s="167"/>
      <c r="XDO22" s="167"/>
      <c r="XDP22" s="167"/>
      <c r="XDQ22" s="167"/>
      <c r="XDR22" s="167"/>
      <c r="XDS22" s="167"/>
      <c r="XDT22" s="167"/>
      <c r="XDU22" s="167"/>
      <c r="XDV22" s="167"/>
      <c r="XDW22" s="167"/>
      <c r="XDX22" s="167"/>
      <c r="XDY22" s="167"/>
      <c r="XDZ22" s="167"/>
      <c r="XEA22" s="167"/>
      <c r="XEB22" s="167"/>
      <c r="XEC22" s="167"/>
      <c r="XED22" s="167"/>
      <c r="XEE22" s="167"/>
      <c r="XEF22" s="167"/>
      <c r="XEG22" s="167"/>
      <c r="XEH22" s="167"/>
      <c r="XEI22" s="167"/>
      <c r="XEJ22" s="167"/>
      <c r="XEK22" s="167"/>
      <c r="XEL22" s="167"/>
      <c r="XEM22" s="167"/>
      <c r="XEN22" s="167"/>
      <c r="XEO22" s="167"/>
      <c r="XEP22" s="167"/>
      <c r="XEQ22" s="167"/>
      <c r="XER22" s="167"/>
      <c r="XES22" s="167"/>
      <c r="XET22" s="167"/>
      <c r="XEU22" s="167"/>
      <c r="XEV22" s="167"/>
      <c r="XEW22" s="167"/>
      <c r="XEX22" s="167"/>
      <c r="XEY22" s="167"/>
      <c r="XEZ22" s="167"/>
      <c r="XFA22" s="167"/>
      <c r="XFB22" s="167"/>
      <c r="XFC22" s="167"/>
      <c r="XFD22" s="167"/>
    </row>
    <row r="23" spans="1:89 16342:16384" s="168" customFormat="1" ht="24.95" customHeight="1">
      <c r="A23" s="218">
        <v>10</v>
      </c>
      <c r="B23" s="219">
        <v>16</v>
      </c>
      <c r="C23" s="288">
        <v>11</v>
      </c>
      <c r="D23" s="287">
        <v>17</v>
      </c>
      <c r="E23" s="286">
        <v>12</v>
      </c>
      <c r="F23" s="285">
        <v>18</v>
      </c>
      <c r="G23" s="218">
        <v>13</v>
      </c>
      <c r="H23" s="219">
        <v>19</v>
      </c>
      <c r="I23" s="218">
        <v>14</v>
      </c>
      <c r="J23" s="219">
        <v>20</v>
      </c>
      <c r="K23" s="241">
        <v>15</v>
      </c>
      <c r="L23" s="219">
        <v>21</v>
      </c>
      <c r="M23" s="209">
        <v>16</v>
      </c>
      <c r="N23" s="208">
        <v>22</v>
      </c>
      <c r="P23" s="283">
        <v>12</v>
      </c>
      <c r="Q23" s="284">
        <v>20</v>
      </c>
      <c r="R23" s="189">
        <v>13</v>
      </c>
      <c r="S23" s="284">
        <v>21</v>
      </c>
      <c r="T23" s="283">
        <v>14</v>
      </c>
      <c r="U23" s="284">
        <v>22</v>
      </c>
      <c r="V23" s="283">
        <v>15</v>
      </c>
      <c r="W23" s="284">
        <v>23</v>
      </c>
      <c r="X23" s="283">
        <v>16</v>
      </c>
      <c r="Y23" s="284">
        <v>24</v>
      </c>
      <c r="Z23" s="283">
        <v>17</v>
      </c>
      <c r="AA23" s="284">
        <v>25</v>
      </c>
      <c r="AB23" s="283">
        <v>18</v>
      </c>
      <c r="AC23" s="282">
        <v>26</v>
      </c>
      <c r="AE23" s="270">
        <v>14</v>
      </c>
      <c r="AF23" s="269">
        <v>23</v>
      </c>
      <c r="AG23" s="281">
        <v>15</v>
      </c>
      <c r="AH23" s="219">
        <v>24</v>
      </c>
      <c r="AI23" s="280">
        <v>16</v>
      </c>
      <c r="AJ23" s="217">
        <v>25</v>
      </c>
      <c r="AK23" s="218">
        <v>17</v>
      </c>
      <c r="AL23" s="219">
        <v>26</v>
      </c>
      <c r="AM23" s="218">
        <v>18</v>
      </c>
      <c r="AN23" s="219">
        <v>27</v>
      </c>
      <c r="AO23" s="437">
        <v>19</v>
      </c>
      <c r="AP23" s="217">
        <v>28</v>
      </c>
      <c r="AQ23" s="279">
        <v>20</v>
      </c>
      <c r="AR23" s="219">
        <v>29</v>
      </c>
      <c r="AT23" s="263">
        <v>15</v>
      </c>
      <c r="AU23" s="254">
        <v>27</v>
      </c>
      <c r="AV23" s="263">
        <v>16</v>
      </c>
      <c r="AW23" s="249">
        <v>28</v>
      </c>
      <c r="AX23" s="263">
        <v>17</v>
      </c>
      <c r="AY23" s="277">
        <v>29</v>
      </c>
      <c r="AZ23" s="255">
        <v>18</v>
      </c>
      <c r="BA23" s="249">
        <v>30</v>
      </c>
      <c r="BB23" s="596">
        <v>19</v>
      </c>
      <c r="BC23" s="276">
        <v>1</v>
      </c>
      <c r="BD23" s="255">
        <v>20</v>
      </c>
      <c r="BE23" s="451">
        <v>2</v>
      </c>
      <c r="BF23" s="255">
        <v>21</v>
      </c>
      <c r="BG23" s="227">
        <v>3</v>
      </c>
      <c r="BI23" s="250">
        <v>12</v>
      </c>
      <c r="BJ23" s="249">
        <v>24</v>
      </c>
      <c r="BK23" s="457">
        <v>13</v>
      </c>
      <c r="BL23" s="274">
        <v>25</v>
      </c>
      <c r="BM23" s="275">
        <v>14</v>
      </c>
      <c r="BN23" s="274">
        <v>26</v>
      </c>
      <c r="BO23" s="275">
        <v>15</v>
      </c>
      <c r="BP23" s="274">
        <v>27</v>
      </c>
      <c r="BQ23" s="275">
        <v>16</v>
      </c>
      <c r="BR23" s="274">
        <v>28</v>
      </c>
      <c r="BS23" s="275">
        <v>17</v>
      </c>
      <c r="BT23" s="274">
        <v>29</v>
      </c>
      <c r="BU23" s="460">
        <v>18</v>
      </c>
      <c r="BV23" s="274">
        <v>1</v>
      </c>
      <c r="BX23" s="209">
        <v>14</v>
      </c>
      <c r="BY23" s="208">
        <v>28</v>
      </c>
      <c r="BZ23" s="273">
        <v>15</v>
      </c>
      <c r="CA23" s="269">
        <v>29</v>
      </c>
      <c r="CB23" s="272">
        <v>16</v>
      </c>
      <c r="CC23" s="271">
        <v>1</v>
      </c>
      <c r="CD23" s="184">
        <v>17</v>
      </c>
      <c r="CE23" s="269">
        <v>2</v>
      </c>
      <c r="CF23" s="270">
        <v>18</v>
      </c>
      <c r="CG23" s="269">
        <v>3</v>
      </c>
      <c r="CH23" s="268">
        <v>19</v>
      </c>
      <c r="CI23" s="267">
        <v>4</v>
      </c>
      <c r="CJ23" s="266">
        <v>20</v>
      </c>
      <c r="CK23" s="265">
        <v>5</v>
      </c>
      <c r="XDN23" s="167"/>
      <c r="XDO23" s="167"/>
      <c r="XDP23" s="167"/>
      <c r="XDQ23" s="167"/>
      <c r="XDR23" s="167"/>
      <c r="XDS23" s="167"/>
      <c r="XDT23" s="167"/>
      <c r="XDU23" s="167"/>
      <c r="XDV23" s="167"/>
      <c r="XDW23" s="167"/>
      <c r="XDX23" s="167"/>
      <c r="XDY23" s="167"/>
      <c r="XDZ23" s="167"/>
      <c r="XEA23" s="167"/>
      <c r="XEB23" s="167"/>
      <c r="XEC23" s="167"/>
      <c r="XED23" s="167"/>
      <c r="XEE23" s="167"/>
      <c r="XEF23" s="167"/>
      <c r="XEG23" s="167"/>
      <c r="XEH23" s="167"/>
      <c r="XEI23" s="167"/>
      <c r="XEJ23" s="167"/>
      <c r="XEK23" s="167"/>
      <c r="XEL23" s="167"/>
      <c r="XEM23" s="167"/>
      <c r="XEN23" s="167"/>
      <c r="XEO23" s="167"/>
      <c r="XEP23" s="167"/>
      <c r="XEQ23" s="167"/>
      <c r="XER23" s="167"/>
      <c r="XES23" s="167"/>
      <c r="XET23" s="167"/>
      <c r="XEU23" s="167"/>
      <c r="XEV23" s="167"/>
      <c r="XEW23" s="167"/>
      <c r="XEX23" s="167"/>
      <c r="XEY23" s="167"/>
      <c r="XEZ23" s="167"/>
      <c r="XFA23" s="167"/>
      <c r="XFB23" s="167"/>
      <c r="XFC23" s="167"/>
      <c r="XFD23" s="167"/>
    </row>
    <row r="24" spans="1:89 16342:16384" s="168" customFormat="1" ht="24.95" customHeight="1">
      <c r="A24" s="435">
        <v>17</v>
      </c>
      <c r="B24" s="219">
        <v>23</v>
      </c>
      <c r="C24" s="264">
        <v>18</v>
      </c>
      <c r="D24" s="226">
        <v>24</v>
      </c>
      <c r="E24" s="218">
        <v>19</v>
      </c>
      <c r="F24" s="247">
        <v>25</v>
      </c>
      <c r="G24" s="248">
        <v>20</v>
      </c>
      <c r="H24" s="247">
        <v>26</v>
      </c>
      <c r="I24" s="248">
        <v>21</v>
      </c>
      <c r="J24" s="245">
        <v>27</v>
      </c>
      <c r="K24" s="590">
        <v>22</v>
      </c>
      <c r="L24" s="247">
        <v>28</v>
      </c>
      <c r="M24" s="243">
        <v>23</v>
      </c>
      <c r="N24" s="208">
        <v>29</v>
      </c>
      <c r="P24" s="263">
        <v>19</v>
      </c>
      <c r="Q24" s="219">
        <v>27</v>
      </c>
      <c r="R24" s="263">
        <v>20</v>
      </c>
      <c r="S24" s="219">
        <v>28</v>
      </c>
      <c r="T24" s="263">
        <v>21</v>
      </c>
      <c r="U24" s="219">
        <v>29</v>
      </c>
      <c r="V24" s="218">
        <v>22</v>
      </c>
      <c r="W24" s="219">
        <v>30</v>
      </c>
      <c r="X24" s="218">
        <v>23</v>
      </c>
      <c r="Y24" s="262">
        <v>1</v>
      </c>
      <c r="Z24" s="218">
        <v>24</v>
      </c>
      <c r="AA24" s="219">
        <v>2</v>
      </c>
      <c r="AB24" s="261">
        <v>25</v>
      </c>
      <c r="AC24" s="217">
        <v>3</v>
      </c>
      <c r="AE24" s="257">
        <v>21</v>
      </c>
      <c r="AF24" s="237">
        <v>1</v>
      </c>
      <c r="AG24" s="257">
        <v>22</v>
      </c>
      <c r="AH24" s="256">
        <v>2</v>
      </c>
      <c r="AI24" s="257">
        <v>23</v>
      </c>
      <c r="AJ24" s="258">
        <v>3</v>
      </c>
      <c r="AK24" s="257">
        <v>24</v>
      </c>
      <c r="AL24" s="256">
        <v>4</v>
      </c>
      <c r="AM24" s="260">
        <v>25</v>
      </c>
      <c r="AN24" s="259">
        <v>5</v>
      </c>
      <c r="AO24" s="257">
        <v>26</v>
      </c>
      <c r="AP24" s="258">
        <v>6</v>
      </c>
      <c r="AQ24" s="257">
        <v>27</v>
      </c>
      <c r="AR24" s="256">
        <v>7</v>
      </c>
      <c r="AT24" s="362">
        <v>22</v>
      </c>
      <c r="AU24" s="254">
        <v>4</v>
      </c>
      <c r="AV24" s="453">
        <v>23</v>
      </c>
      <c r="AW24" s="253">
        <v>5</v>
      </c>
      <c r="AX24" s="252">
        <v>24</v>
      </c>
      <c r="AY24" s="253">
        <v>6</v>
      </c>
      <c r="AZ24" s="252">
        <v>25</v>
      </c>
      <c r="BA24" s="253">
        <v>7</v>
      </c>
      <c r="BB24" s="252">
        <v>26</v>
      </c>
      <c r="BC24" s="253">
        <v>8</v>
      </c>
      <c r="BD24" s="252">
        <v>27</v>
      </c>
      <c r="BE24" s="253">
        <v>9</v>
      </c>
      <c r="BF24" s="252">
        <v>28</v>
      </c>
      <c r="BG24" s="251">
        <v>10</v>
      </c>
      <c r="BI24" s="368">
        <v>19</v>
      </c>
      <c r="BJ24" s="249">
        <v>2</v>
      </c>
      <c r="BK24" s="250">
        <v>20</v>
      </c>
      <c r="BL24" s="249">
        <v>3</v>
      </c>
      <c r="BM24" s="250">
        <v>21</v>
      </c>
      <c r="BN24" s="249">
        <v>4</v>
      </c>
      <c r="BO24" s="250">
        <v>22</v>
      </c>
      <c r="BP24" s="249">
        <v>5</v>
      </c>
      <c r="BQ24" s="250">
        <v>23</v>
      </c>
      <c r="BR24" s="249">
        <v>6</v>
      </c>
      <c r="BS24" s="250">
        <v>24</v>
      </c>
      <c r="BT24" s="249">
        <v>7</v>
      </c>
      <c r="BU24" s="362">
        <v>25</v>
      </c>
      <c r="BV24" s="249">
        <v>8</v>
      </c>
      <c r="BX24" s="209">
        <v>21</v>
      </c>
      <c r="BY24" s="208">
        <v>6</v>
      </c>
      <c r="BZ24" s="248">
        <v>22</v>
      </c>
      <c r="CA24" s="247">
        <v>7</v>
      </c>
      <c r="CB24" s="248">
        <v>23</v>
      </c>
      <c r="CC24" s="245">
        <v>8</v>
      </c>
      <c r="CD24" s="248">
        <v>24</v>
      </c>
      <c r="CE24" s="247">
        <v>9</v>
      </c>
      <c r="CF24" s="248">
        <v>25</v>
      </c>
      <c r="CG24" s="247">
        <v>10</v>
      </c>
      <c r="CH24" s="246">
        <v>26</v>
      </c>
      <c r="CI24" s="245">
        <v>11</v>
      </c>
      <c r="CJ24" s="218">
        <v>27</v>
      </c>
      <c r="CK24" s="244">
        <v>12</v>
      </c>
      <c r="XDN24" s="167"/>
      <c r="XDO24" s="167"/>
      <c r="XDP24" s="167"/>
      <c r="XDQ24" s="167"/>
      <c r="XDR24" s="167"/>
      <c r="XDS24" s="167"/>
      <c r="XDT24" s="167"/>
      <c r="XDU24" s="167"/>
      <c r="XDV24" s="167"/>
      <c r="XDW24" s="167"/>
      <c r="XDX24" s="167"/>
      <c r="XDY24" s="167"/>
      <c r="XDZ24" s="167"/>
      <c r="XEA24" s="167"/>
      <c r="XEB24" s="167"/>
      <c r="XEC24" s="167"/>
      <c r="XED24" s="167"/>
      <c r="XEE24" s="167"/>
      <c r="XEF24" s="167"/>
      <c r="XEG24" s="167"/>
      <c r="XEH24" s="167"/>
      <c r="XEI24" s="167"/>
      <c r="XEJ24" s="167"/>
      <c r="XEK24" s="167"/>
      <c r="XEL24" s="167"/>
      <c r="XEM24" s="167"/>
      <c r="XEN24" s="167"/>
      <c r="XEO24" s="167"/>
      <c r="XEP24" s="167"/>
      <c r="XEQ24" s="167"/>
      <c r="XER24" s="167"/>
      <c r="XES24" s="167"/>
      <c r="XET24" s="167"/>
      <c r="XEU24" s="167"/>
      <c r="XEV24" s="167"/>
      <c r="XEW24" s="167"/>
      <c r="XEX24" s="167"/>
      <c r="XEY24" s="167"/>
      <c r="XEZ24" s="167"/>
      <c r="XFA24" s="167"/>
      <c r="XFB24" s="167"/>
      <c r="XFC24" s="167"/>
      <c r="XFD24" s="167"/>
    </row>
    <row r="25" spans="1:89 16342:16384" s="168" customFormat="1" ht="24.95" customHeight="1">
      <c r="A25" s="218">
        <v>24</v>
      </c>
      <c r="B25" s="219">
        <v>30</v>
      </c>
      <c r="C25" s="243">
        <v>25</v>
      </c>
      <c r="D25" s="240">
        <v>1</v>
      </c>
      <c r="E25" s="242">
        <v>26</v>
      </c>
      <c r="F25" s="240">
        <v>2</v>
      </c>
      <c r="G25" s="241">
        <v>27</v>
      </c>
      <c r="H25" s="240">
        <v>3</v>
      </c>
      <c r="I25" s="241">
        <v>28</v>
      </c>
      <c r="J25" s="240">
        <v>4</v>
      </c>
      <c r="K25" s="241">
        <v>29</v>
      </c>
      <c r="L25" s="240">
        <v>5</v>
      </c>
      <c r="M25" s="194">
        <v>30</v>
      </c>
      <c r="N25" s="208">
        <v>6</v>
      </c>
      <c r="P25" s="218">
        <v>26</v>
      </c>
      <c r="Q25" s="219">
        <v>4</v>
      </c>
      <c r="R25" s="218">
        <v>27</v>
      </c>
      <c r="S25" s="219">
        <v>5</v>
      </c>
      <c r="T25" s="218">
        <v>28</v>
      </c>
      <c r="U25" s="219">
        <v>6</v>
      </c>
      <c r="V25" s="218">
        <v>29</v>
      </c>
      <c r="W25" s="219">
        <v>7</v>
      </c>
      <c r="X25" s="218">
        <v>30</v>
      </c>
      <c r="Y25" s="219">
        <v>8</v>
      </c>
      <c r="Z25" s="239">
        <v>31</v>
      </c>
      <c r="AA25" s="219">
        <v>9</v>
      </c>
      <c r="AB25" s="215"/>
      <c r="AC25" s="216"/>
      <c r="AE25" s="238">
        <v>28</v>
      </c>
      <c r="AF25" s="237">
        <v>8</v>
      </c>
      <c r="AG25" s="235">
        <v>29</v>
      </c>
      <c r="AH25" s="236">
        <v>9</v>
      </c>
      <c r="AI25" s="235">
        <v>30</v>
      </c>
      <c r="AJ25" s="234">
        <v>10</v>
      </c>
      <c r="AK25" s="233">
        <v>31</v>
      </c>
      <c r="AL25" s="232">
        <v>11</v>
      </c>
      <c r="AM25" s="230"/>
      <c r="AN25" s="229"/>
      <c r="AO25" s="230"/>
      <c r="AP25" s="231"/>
      <c r="AQ25" s="230"/>
      <c r="AR25" s="229"/>
      <c r="AT25" s="487" t="s">
        <v>285</v>
      </c>
      <c r="AU25" s="488"/>
      <c r="AV25" s="488"/>
      <c r="AW25" s="488"/>
      <c r="AX25" s="488"/>
      <c r="AY25" s="488"/>
      <c r="AZ25" s="488"/>
      <c r="BA25" s="488"/>
      <c r="BB25" s="488"/>
      <c r="BC25" s="488"/>
      <c r="BD25" s="488"/>
      <c r="BE25" s="488"/>
      <c r="BF25" s="488"/>
      <c r="BG25" s="489"/>
      <c r="BI25" s="228">
        <v>26</v>
      </c>
      <c r="BJ25" s="227">
        <v>6</v>
      </c>
      <c r="BK25" s="206">
        <v>27</v>
      </c>
      <c r="BL25" s="226">
        <v>10</v>
      </c>
      <c r="BM25" s="206">
        <v>28</v>
      </c>
      <c r="BN25" s="226">
        <v>11</v>
      </c>
      <c r="BO25" s="225">
        <v>29</v>
      </c>
      <c r="BP25" s="208">
        <v>12</v>
      </c>
      <c r="BQ25" s="209">
        <v>30</v>
      </c>
      <c r="BR25" s="224">
        <v>13</v>
      </c>
      <c r="BS25" s="223"/>
      <c r="BT25" s="222"/>
      <c r="BU25" s="223"/>
      <c r="BV25" s="222"/>
      <c r="BX25" s="221">
        <v>28</v>
      </c>
      <c r="BY25" s="220">
        <v>13</v>
      </c>
      <c r="BZ25" s="218">
        <v>29</v>
      </c>
      <c r="CA25" s="219">
        <v>14</v>
      </c>
      <c r="CB25" s="218">
        <v>30</v>
      </c>
      <c r="CC25" s="217">
        <v>15</v>
      </c>
      <c r="CD25" s="215"/>
      <c r="CE25" s="214"/>
      <c r="CF25" s="215"/>
      <c r="CG25" s="214"/>
      <c r="CH25" s="215"/>
      <c r="CI25" s="216"/>
      <c r="CJ25" s="215"/>
      <c r="CK25" s="214"/>
      <c r="XDN25" s="167"/>
      <c r="XDO25" s="167"/>
      <c r="XDP25" s="167"/>
      <c r="XDQ25" s="167"/>
      <c r="XDR25" s="167"/>
      <c r="XDS25" s="167"/>
      <c r="XDT25" s="167"/>
      <c r="XDU25" s="167"/>
      <c r="XDV25" s="167"/>
      <c r="XDW25" s="167"/>
      <c r="XDX25" s="167"/>
      <c r="XDY25" s="167"/>
      <c r="XDZ25" s="167"/>
      <c r="XEA25" s="167"/>
      <c r="XEB25" s="167"/>
      <c r="XEC25" s="167"/>
      <c r="XED25" s="167"/>
      <c r="XEE25" s="167"/>
      <c r="XEF25" s="167"/>
      <c r="XEG25" s="167"/>
      <c r="XEH25" s="167"/>
      <c r="XEI25" s="167"/>
      <c r="XEJ25" s="167"/>
      <c r="XEK25" s="167"/>
      <c r="XEL25" s="167"/>
      <c r="XEM25" s="167"/>
      <c r="XEN25" s="167"/>
      <c r="XEO25" s="167"/>
      <c r="XEP25" s="167"/>
      <c r="XEQ25" s="167"/>
      <c r="XER25" s="167"/>
      <c r="XES25" s="167"/>
      <c r="XET25" s="167"/>
      <c r="XEU25" s="167"/>
      <c r="XEV25" s="167"/>
      <c r="XEW25" s="167"/>
      <c r="XEX25" s="167"/>
      <c r="XEY25" s="167"/>
      <c r="XEZ25" s="167"/>
      <c r="XFA25" s="167"/>
      <c r="XFB25" s="167"/>
      <c r="XFC25" s="167"/>
      <c r="XFD25" s="167"/>
    </row>
    <row r="26" spans="1:89 16342:16384" s="168" customFormat="1" ht="24" customHeight="1">
      <c r="A26" s="209">
        <v>31</v>
      </c>
      <c r="B26" s="210">
        <v>7</v>
      </c>
      <c r="C26" s="213"/>
      <c r="D26" s="212"/>
      <c r="E26" s="209"/>
      <c r="F26" s="210"/>
      <c r="G26" s="209"/>
      <c r="H26" s="210"/>
      <c r="I26" s="209"/>
      <c r="J26" s="208"/>
      <c r="K26" s="209"/>
      <c r="L26" s="210"/>
      <c r="M26" s="209"/>
      <c r="N26" s="211"/>
      <c r="P26" s="490" t="s">
        <v>286</v>
      </c>
      <c r="Q26" s="491"/>
      <c r="R26" s="491"/>
      <c r="S26" s="491"/>
      <c r="T26" s="491"/>
      <c r="U26" s="491"/>
      <c r="V26" s="491"/>
      <c r="W26" s="491"/>
      <c r="X26" s="491"/>
      <c r="Y26" s="491"/>
      <c r="Z26" s="491"/>
      <c r="AA26" s="491"/>
      <c r="AB26" s="491"/>
      <c r="AC26" s="491"/>
      <c r="AD26" s="492"/>
      <c r="AE26" s="477" t="s">
        <v>280</v>
      </c>
      <c r="AF26" s="477"/>
      <c r="AG26" s="477"/>
      <c r="AH26" s="477"/>
      <c r="AI26" s="477"/>
      <c r="AJ26" s="477"/>
      <c r="AK26" s="477"/>
      <c r="AL26" s="477"/>
      <c r="AM26" s="477"/>
      <c r="AN26" s="477"/>
      <c r="AO26" s="477"/>
      <c r="AP26" s="477"/>
      <c r="AQ26" s="477"/>
      <c r="AR26" s="477"/>
      <c r="AT26" s="493" t="s">
        <v>287</v>
      </c>
      <c r="AU26" s="493"/>
      <c r="AV26" s="493"/>
      <c r="AW26" s="493"/>
      <c r="AX26" s="493"/>
      <c r="AY26" s="493"/>
      <c r="AZ26" s="493"/>
      <c r="BI26" s="471" t="s">
        <v>286</v>
      </c>
      <c r="BJ26" s="472"/>
      <c r="BK26" s="472"/>
      <c r="BL26" s="472"/>
      <c r="BM26" s="472"/>
      <c r="BN26" s="472"/>
      <c r="BO26" s="472"/>
      <c r="BP26" s="472"/>
      <c r="BQ26" s="472"/>
      <c r="BR26" s="472"/>
      <c r="BS26" s="472"/>
      <c r="BT26" s="472"/>
      <c r="BU26" s="472"/>
      <c r="BV26" s="473"/>
      <c r="BX26" s="209"/>
      <c r="BY26" s="210"/>
      <c r="BZ26" s="209"/>
      <c r="CA26" s="208"/>
      <c r="CB26" s="206"/>
      <c r="CC26" s="207"/>
      <c r="CD26" s="206"/>
      <c r="CE26" s="207"/>
      <c r="CF26" s="206"/>
      <c r="CG26" s="205"/>
      <c r="CH26" s="206"/>
      <c r="CI26" s="207"/>
      <c r="CJ26" s="206"/>
      <c r="CK26" s="205"/>
      <c r="XDN26" s="167"/>
      <c r="XDO26" s="167"/>
      <c r="XDP26" s="167"/>
      <c r="XDQ26" s="167"/>
      <c r="XDR26" s="167"/>
      <c r="XDS26" s="167"/>
      <c r="XDT26" s="167"/>
      <c r="XDU26" s="167"/>
      <c r="XDV26" s="167"/>
      <c r="XDW26" s="167"/>
      <c r="XDX26" s="167"/>
      <c r="XDY26" s="167"/>
      <c r="XDZ26" s="167"/>
      <c r="XEA26" s="167"/>
      <c r="XEB26" s="167"/>
      <c r="XEC26" s="167"/>
      <c r="XED26" s="167"/>
      <c r="XEE26" s="167"/>
      <c r="XEF26" s="167"/>
      <c r="XEG26" s="167"/>
      <c r="XEH26" s="167"/>
      <c r="XEI26" s="167"/>
      <c r="XEJ26" s="167"/>
      <c r="XEK26" s="167"/>
      <c r="XEL26" s="167"/>
      <c r="XEM26" s="167"/>
      <c r="XEN26" s="167"/>
      <c r="XEO26" s="167"/>
      <c r="XEP26" s="167"/>
      <c r="XEQ26" s="167"/>
      <c r="XER26" s="167"/>
      <c r="XES26" s="167"/>
      <c r="XET26" s="167"/>
      <c r="XEU26" s="167"/>
      <c r="XEV26" s="167"/>
      <c r="XEW26" s="167"/>
      <c r="XEX26" s="167"/>
      <c r="XEY26" s="167"/>
      <c r="XEZ26" s="167"/>
      <c r="XFA26" s="167"/>
      <c r="XFB26" s="167"/>
      <c r="XFC26" s="167"/>
      <c r="XFD26" s="167"/>
    </row>
    <row r="27" spans="1:89 16342:16384" s="168" customFormat="1" ht="17.100000000000001" customHeight="1">
      <c r="A27" s="474" t="s">
        <v>285</v>
      </c>
      <c r="B27" s="474"/>
      <c r="C27" s="474"/>
      <c r="D27" s="474"/>
      <c r="E27" s="474"/>
      <c r="F27" s="474"/>
      <c r="G27" s="474"/>
      <c r="H27" s="474"/>
      <c r="I27" s="474"/>
      <c r="J27" s="474"/>
      <c r="K27" s="474"/>
      <c r="L27" s="474"/>
      <c r="M27" s="474"/>
      <c r="N27" s="474"/>
      <c r="AE27" s="475" t="s">
        <v>284</v>
      </c>
      <c r="AF27" s="475"/>
      <c r="AG27" s="475"/>
      <c r="AH27" s="475"/>
      <c r="AI27" s="475"/>
      <c r="AJ27" s="475"/>
      <c r="AK27" s="475"/>
      <c r="AL27" s="475"/>
      <c r="AM27" s="197"/>
      <c r="AN27" s="204"/>
      <c r="AO27" s="204"/>
      <c r="AP27" s="204"/>
      <c r="AQ27" s="204"/>
      <c r="AR27" s="204"/>
      <c r="AT27" s="203" t="s">
        <v>283</v>
      </c>
      <c r="AU27" s="183" t="s">
        <v>282</v>
      </c>
      <c r="AV27" s="174"/>
      <c r="BI27" s="476" t="s">
        <v>281</v>
      </c>
      <c r="BJ27" s="476"/>
      <c r="BK27" s="476"/>
      <c r="BL27" s="476"/>
      <c r="BM27" s="476"/>
      <c r="BN27" s="476"/>
      <c r="BX27" s="477" t="s">
        <v>280</v>
      </c>
      <c r="BY27" s="477"/>
      <c r="BZ27" s="477"/>
      <c r="CA27" s="477"/>
      <c r="CB27" s="477"/>
      <c r="CC27" s="477"/>
      <c r="CD27" s="477"/>
      <c r="CE27" s="477"/>
      <c r="CF27" s="477"/>
      <c r="CG27" s="477"/>
      <c r="CH27" s="477"/>
      <c r="CI27" s="477"/>
      <c r="CJ27" s="477"/>
      <c r="CK27" s="477"/>
      <c r="XDN27" s="167"/>
      <c r="XDO27" s="167"/>
      <c r="XDP27" s="167"/>
      <c r="XDQ27" s="167"/>
      <c r="XDR27" s="167"/>
      <c r="XDS27" s="167"/>
      <c r="XDT27" s="167"/>
      <c r="XDU27" s="167"/>
      <c r="XDV27" s="167"/>
      <c r="XDW27" s="167"/>
      <c r="XDX27" s="167"/>
      <c r="XDY27" s="167"/>
      <c r="XDZ27" s="167"/>
      <c r="XEA27" s="167"/>
      <c r="XEB27" s="167"/>
      <c r="XEC27" s="167"/>
      <c r="XED27" s="167"/>
      <c r="XEE27" s="167"/>
      <c r="XEF27" s="167"/>
      <c r="XEG27" s="167"/>
      <c r="XEH27" s="167"/>
      <c r="XEI27" s="167"/>
      <c r="XEJ27" s="167"/>
      <c r="XEK27" s="167"/>
      <c r="XEL27" s="167"/>
      <c r="XEM27" s="167"/>
      <c r="XEN27" s="167"/>
      <c r="XEO27" s="167"/>
      <c r="XEP27" s="167"/>
      <c r="XEQ27" s="167"/>
      <c r="XER27" s="167"/>
      <c r="XES27" s="167"/>
      <c r="XET27" s="167"/>
      <c r="XEU27" s="167"/>
      <c r="XEV27" s="167"/>
      <c r="XEW27" s="167"/>
      <c r="XEX27" s="167"/>
      <c r="XEY27" s="167"/>
      <c r="XEZ27" s="167"/>
      <c r="XFA27" s="167"/>
      <c r="XFB27" s="167"/>
      <c r="XFC27" s="167"/>
      <c r="XFD27" s="167"/>
    </row>
    <row r="28" spans="1:89 16342:16384" s="168" customFormat="1" ht="14.1" customHeight="1">
      <c r="A28" s="475" t="s">
        <v>279</v>
      </c>
      <c r="B28" s="475"/>
      <c r="C28" s="475"/>
      <c r="D28" s="475"/>
      <c r="E28" s="475"/>
      <c r="F28" s="475"/>
      <c r="G28" s="475"/>
      <c r="P28" s="475" t="s">
        <v>278</v>
      </c>
      <c r="Q28" s="475"/>
      <c r="R28" s="475"/>
      <c r="S28" s="475"/>
      <c r="T28" s="475"/>
      <c r="U28" s="475"/>
      <c r="V28" s="475"/>
      <c r="W28" s="202"/>
      <c r="X28" s="202"/>
      <c r="Y28" s="483"/>
      <c r="Z28" s="483"/>
      <c r="AA28" s="483"/>
      <c r="AB28" s="483"/>
      <c r="AC28" s="483"/>
      <c r="AE28" s="194">
        <v>6</v>
      </c>
      <c r="AF28" s="192" t="s">
        <v>270</v>
      </c>
      <c r="AL28" s="174"/>
      <c r="AN28" s="202"/>
      <c r="AO28" s="202"/>
      <c r="AP28" s="202"/>
      <c r="AQ28" s="202"/>
      <c r="AR28" s="202"/>
      <c r="AT28" s="201" t="s">
        <v>356</v>
      </c>
      <c r="AU28" s="174" t="s">
        <v>277</v>
      </c>
      <c r="AV28" s="174"/>
      <c r="BI28" s="200">
        <v>4</v>
      </c>
      <c r="BJ28" s="171" t="s">
        <v>270</v>
      </c>
      <c r="BX28" s="484" t="s">
        <v>276</v>
      </c>
      <c r="BY28" s="484"/>
      <c r="BZ28" s="484"/>
      <c r="CA28" s="484"/>
      <c r="CB28" s="484"/>
      <c r="CC28" s="484"/>
      <c r="CD28" s="484"/>
      <c r="XDN28" s="167"/>
      <c r="XDO28" s="167"/>
      <c r="XDP28" s="167"/>
      <c r="XDQ28" s="167"/>
      <c r="XDR28" s="167"/>
      <c r="XDS28" s="167"/>
      <c r="XDT28" s="167"/>
      <c r="XDU28" s="167"/>
      <c r="XDV28" s="167"/>
      <c r="XDW28" s="167"/>
      <c r="XDX28" s="167"/>
      <c r="XDY28" s="167"/>
      <c r="XDZ28" s="167"/>
      <c r="XEA28" s="167"/>
      <c r="XEB28" s="167"/>
      <c r="XEC28" s="167"/>
      <c r="XED28" s="167"/>
      <c r="XEE28" s="167"/>
      <c r="XEF28" s="167"/>
      <c r="XEG28" s="167"/>
      <c r="XEH28" s="167"/>
      <c r="XEI28" s="167"/>
      <c r="XEJ28" s="167"/>
      <c r="XEK28" s="167"/>
      <c r="XEL28" s="167"/>
      <c r="XEM28" s="167"/>
      <c r="XEN28" s="167"/>
      <c r="XEO28" s="167"/>
      <c r="XEP28" s="167"/>
      <c r="XEQ28" s="167"/>
      <c r="XER28" s="167"/>
      <c r="XES28" s="167"/>
      <c r="XET28" s="167"/>
      <c r="XEU28" s="167"/>
      <c r="XEV28" s="167"/>
      <c r="XEW28" s="167"/>
      <c r="XEX28" s="167"/>
      <c r="XEY28" s="167"/>
      <c r="XEZ28" s="167"/>
      <c r="XFA28" s="167"/>
      <c r="XFB28" s="167"/>
      <c r="XFC28" s="167"/>
      <c r="XFD28" s="167"/>
    </row>
    <row r="29" spans="1:89 16342:16384" s="168" customFormat="1" ht="14.1" customHeight="1">
      <c r="A29" s="429"/>
      <c r="B29" s="429"/>
      <c r="C29" s="429"/>
      <c r="D29" s="429"/>
      <c r="E29" s="429"/>
      <c r="F29" s="429"/>
      <c r="G29" s="429"/>
      <c r="P29" s="429"/>
      <c r="Q29" s="429"/>
      <c r="R29" s="429"/>
      <c r="S29" s="429"/>
      <c r="T29" s="429"/>
      <c r="U29" s="429"/>
      <c r="V29" s="429"/>
      <c r="W29" s="202"/>
      <c r="X29" s="202"/>
      <c r="Y29" s="430"/>
      <c r="Z29" s="430"/>
      <c r="AA29" s="430"/>
      <c r="AB29" s="430"/>
      <c r="AC29" s="430"/>
      <c r="AE29" s="446" t="s">
        <v>264</v>
      </c>
      <c r="AF29" s="174" t="s">
        <v>274</v>
      </c>
      <c r="AG29" s="174"/>
      <c r="AH29" s="174"/>
      <c r="AI29" s="174"/>
      <c r="AJ29" s="174"/>
      <c r="AK29" s="174"/>
      <c r="AL29" s="174"/>
      <c r="AN29" s="202"/>
      <c r="AO29" s="202"/>
      <c r="AP29" s="202"/>
      <c r="AQ29" s="202"/>
      <c r="AR29" s="202"/>
      <c r="AT29" s="263" t="s">
        <v>151</v>
      </c>
      <c r="AU29" s="192" t="s">
        <v>355</v>
      </c>
      <c r="AV29" s="174"/>
      <c r="BI29" s="455">
        <v>11</v>
      </c>
      <c r="BJ29" s="176" t="s">
        <v>271</v>
      </c>
      <c r="BX29" s="190" t="s">
        <v>264</v>
      </c>
      <c r="BY29" s="168" t="s">
        <v>263</v>
      </c>
      <c r="CD29" s="431"/>
      <c r="XDN29" s="167"/>
      <c r="XDO29" s="167"/>
      <c r="XDP29" s="167"/>
      <c r="XDQ29" s="167"/>
      <c r="XDR29" s="167"/>
      <c r="XDS29" s="167"/>
      <c r="XDT29" s="167"/>
      <c r="XDU29" s="167"/>
      <c r="XDV29" s="167"/>
      <c r="XDW29" s="167"/>
      <c r="XDX29" s="167"/>
      <c r="XDY29" s="167"/>
      <c r="XDZ29" s="167"/>
      <c r="XEA29" s="167"/>
      <c r="XEB29" s="167"/>
      <c r="XEC29" s="167"/>
      <c r="XED29" s="167"/>
      <c r="XEE29" s="167"/>
      <c r="XEF29" s="167"/>
      <c r="XEG29" s="167"/>
      <c r="XEH29" s="167"/>
      <c r="XEI29" s="167"/>
      <c r="XEJ29" s="167"/>
      <c r="XEK29" s="167"/>
      <c r="XEL29" s="167"/>
      <c r="XEM29" s="167"/>
      <c r="XEN29" s="167"/>
      <c r="XEO29" s="167"/>
      <c r="XEP29" s="167"/>
      <c r="XEQ29" s="167"/>
      <c r="XER29" s="167"/>
      <c r="XES29" s="167"/>
      <c r="XET29" s="167"/>
      <c r="XEU29" s="167"/>
      <c r="XEV29" s="167"/>
      <c r="XEW29" s="167"/>
      <c r="XEX29" s="167"/>
      <c r="XEY29" s="167"/>
      <c r="XEZ29" s="167"/>
      <c r="XFA29" s="167"/>
      <c r="XFB29" s="167"/>
      <c r="XFC29" s="167"/>
      <c r="XFD29" s="167"/>
    </row>
    <row r="30" spans="1:89 16342:16384" s="168" customFormat="1" ht="14.1" customHeight="1">
      <c r="A30" s="429"/>
      <c r="B30" s="429"/>
      <c r="C30" s="429"/>
      <c r="D30" s="429"/>
      <c r="E30" s="429"/>
      <c r="F30" s="429"/>
      <c r="G30" s="429"/>
      <c r="P30" s="429"/>
      <c r="Q30" s="429"/>
      <c r="R30" s="429"/>
      <c r="S30" s="429"/>
      <c r="T30" s="429"/>
      <c r="U30" s="429"/>
      <c r="V30" s="429"/>
      <c r="W30" s="202"/>
      <c r="X30" s="202"/>
      <c r="Y30" s="430"/>
      <c r="Z30" s="430"/>
      <c r="AA30" s="430"/>
      <c r="AB30" s="430"/>
      <c r="AC30" s="430"/>
      <c r="AE30" s="191" t="s">
        <v>267</v>
      </c>
      <c r="AF30" s="179" t="s">
        <v>260</v>
      </c>
      <c r="AG30" s="174"/>
      <c r="AH30" s="174"/>
      <c r="AI30" s="174"/>
      <c r="AJ30" s="174"/>
      <c r="AK30" s="174"/>
      <c r="AL30" s="174"/>
      <c r="AN30" s="202"/>
      <c r="AO30" s="202"/>
      <c r="AP30" s="202"/>
      <c r="AQ30" s="202"/>
      <c r="AR30" s="202"/>
      <c r="AT30" s="196" t="s">
        <v>273</v>
      </c>
      <c r="AU30" s="174" t="s">
        <v>272</v>
      </c>
      <c r="AV30" s="174"/>
      <c r="BI30" s="461">
        <v>18</v>
      </c>
      <c r="BJ30" s="176" t="s">
        <v>359</v>
      </c>
      <c r="BX30" s="186" t="s">
        <v>261</v>
      </c>
      <c r="BY30" s="179" t="s">
        <v>260</v>
      </c>
      <c r="CD30" s="431"/>
      <c r="XDN30" s="167"/>
      <c r="XDO30" s="167"/>
      <c r="XDP30" s="167"/>
      <c r="XDQ30" s="167"/>
      <c r="XDR30" s="167"/>
      <c r="XDS30" s="167"/>
      <c r="XDT30" s="167"/>
      <c r="XDU30" s="167"/>
      <c r="XDV30" s="167"/>
      <c r="XDW30" s="167"/>
      <c r="XDX30" s="167"/>
      <c r="XDY30" s="167"/>
      <c r="XDZ30" s="167"/>
      <c r="XEA30" s="167"/>
      <c r="XEB30" s="167"/>
      <c r="XEC30" s="167"/>
      <c r="XED30" s="167"/>
      <c r="XEE30" s="167"/>
      <c r="XEF30" s="167"/>
      <c r="XEG30" s="167"/>
      <c r="XEH30" s="167"/>
      <c r="XEI30" s="167"/>
      <c r="XEJ30" s="167"/>
      <c r="XEK30" s="167"/>
      <c r="XEL30" s="167"/>
      <c r="XEM30" s="167"/>
      <c r="XEN30" s="167"/>
      <c r="XEO30" s="167"/>
      <c r="XEP30" s="167"/>
      <c r="XEQ30" s="167"/>
      <c r="XER30" s="167"/>
      <c r="XES30" s="167"/>
      <c r="XET30" s="167"/>
      <c r="XEU30" s="167"/>
      <c r="XEV30" s="167"/>
      <c r="XEW30" s="167"/>
      <c r="XEX30" s="167"/>
      <c r="XEY30" s="167"/>
      <c r="XEZ30" s="167"/>
      <c r="XFA30" s="167"/>
      <c r="XFB30" s="167"/>
      <c r="XFC30" s="167"/>
      <c r="XFD30" s="167"/>
    </row>
    <row r="31" spans="1:89 16342:16384" s="168" customFormat="1" ht="14.1" customHeight="1">
      <c r="A31" s="432"/>
      <c r="B31" s="432"/>
      <c r="C31" s="432"/>
      <c r="D31" s="432"/>
      <c r="E31" s="432"/>
      <c r="F31" s="432"/>
      <c r="G31" s="432"/>
      <c r="P31" s="594">
        <v>5</v>
      </c>
      <c r="Q31" s="595" t="s">
        <v>370</v>
      </c>
      <c r="S31" s="432"/>
      <c r="T31" s="432"/>
      <c r="U31" s="432"/>
      <c r="V31" s="432"/>
      <c r="W31" s="202"/>
      <c r="X31" s="202"/>
      <c r="Y31" s="433"/>
      <c r="Z31" s="433"/>
      <c r="AA31" s="433"/>
      <c r="AB31" s="433"/>
      <c r="AC31" s="433"/>
      <c r="AE31" s="189">
        <v>12</v>
      </c>
      <c r="AF31" s="176" t="s">
        <v>262</v>
      </c>
      <c r="AK31" s="174"/>
      <c r="AL31" s="174"/>
      <c r="AN31" s="202"/>
      <c r="AO31" s="202"/>
      <c r="AP31" s="202"/>
      <c r="AQ31" s="202"/>
      <c r="AR31" s="202"/>
      <c r="AT31" s="450"/>
      <c r="AU31" s="192"/>
      <c r="AV31" s="174"/>
      <c r="BI31" s="461"/>
      <c r="BJ31" s="176"/>
      <c r="BX31" s="184">
        <v>17</v>
      </c>
      <c r="BY31" s="183" t="s">
        <v>258</v>
      </c>
      <c r="BZ31" s="167"/>
      <c r="CD31" s="434"/>
      <c r="XDN31" s="167"/>
      <c r="XDO31" s="167"/>
      <c r="XDP31" s="167"/>
      <c r="XDQ31" s="167"/>
      <c r="XDR31" s="167"/>
      <c r="XDS31" s="167"/>
      <c r="XDT31" s="167"/>
      <c r="XDU31" s="167"/>
      <c r="XDV31" s="167"/>
      <c r="XDW31" s="167"/>
      <c r="XDX31" s="167"/>
      <c r="XDY31" s="167"/>
      <c r="XDZ31" s="167"/>
      <c r="XEA31" s="167"/>
      <c r="XEB31" s="167"/>
      <c r="XEC31" s="167"/>
      <c r="XED31" s="167"/>
      <c r="XEE31" s="167"/>
      <c r="XEF31" s="167"/>
      <c r="XEG31" s="167"/>
      <c r="XEH31" s="167"/>
      <c r="XEI31" s="167"/>
      <c r="XEJ31" s="167"/>
      <c r="XEK31" s="167"/>
      <c r="XEL31" s="167"/>
      <c r="XEM31" s="167"/>
      <c r="XEN31" s="167"/>
      <c r="XEO31" s="167"/>
      <c r="XEP31" s="167"/>
      <c r="XEQ31" s="167"/>
      <c r="XER31" s="167"/>
      <c r="XES31" s="167"/>
      <c r="XET31" s="167"/>
      <c r="XEU31" s="167"/>
      <c r="XEV31" s="167"/>
      <c r="XEW31" s="167"/>
      <c r="XEX31" s="167"/>
      <c r="XEY31" s="167"/>
      <c r="XEZ31" s="167"/>
      <c r="XFA31" s="167"/>
      <c r="XFB31" s="167"/>
      <c r="XFC31" s="167"/>
      <c r="XFD31" s="167"/>
    </row>
    <row r="32" spans="1:89 16342:16384" s="168" customFormat="1" ht="15" customHeight="1">
      <c r="A32" s="199">
        <v>17</v>
      </c>
      <c r="B32" s="198" t="s">
        <v>275</v>
      </c>
      <c r="C32" s="174"/>
      <c r="D32" s="174"/>
      <c r="E32" s="174"/>
      <c r="F32" s="174"/>
      <c r="G32" s="197"/>
      <c r="H32" s="485"/>
      <c r="I32" s="485"/>
      <c r="J32" s="485"/>
      <c r="K32" s="485"/>
      <c r="L32" s="485"/>
      <c r="M32" s="485"/>
      <c r="N32" s="485"/>
      <c r="P32" s="194">
        <v>4</v>
      </c>
      <c r="Q32" s="192" t="s">
        <v>352</v>
      </c>
      <c r="AE32" s="185">
        <v>15</v>
      </c>
      <c r="AF32" s="183" t="s">
        <v>259</v>
      </c>
      <c r="AG32" s="181"/>
      <c r="AH32" s="174"/>
      <c r="AI32" s="174"/>
      <c r="AJ32" s="174"/>
      <c r="AK32" s="174"/>
      <c r="AL32" s="174"/>
      <c r="BI32" s="456" t="s">
        <v>266</v>
      </c>
      <c r="BJ32" s="168" t="s">
        <v>265</v>
      </c>
      <c r="BX32" s="180" t="s">
        <v>257</v>
      </c>
      <c r="BY32" s="174" t="s">
        <v>256</v>
      </c>
      <c r="CK32" s="174"/>
      <c r="XDN32" s="167"/>
      <c r="XDO32" s="167"/>
      <c r="XDP32" s="167"/>
      <c r="XDQ32" s="167"/>
      <c r="XDR32" s="167"/>
      <c r="XDS32" s="167"/>
      <c r="XDT32" s="167"/>
      <c r="XDU32" s="167"/>
      <c r="XDV32" s="167"/>
      <c r="XDW32" s="167"/>
      <c r="XDX32" s="167"/>
      <c r="XDY32" s="167"/>
      <c r="XDZ32" s="167"/>
      <c r="XEA32" s="167"/>
      <c r="XEB32" s="167"/>
      <c r="XEC32" s="167"/>
      <c r="XED32" s="167"/>
      <c r="XEE32" s="167"/>
      <c r="XEF32" s="167"/>
      <c r="XEG32" s="167"/>
      <c r="XEH32" s="167"/>
      <c r="XEI32" s="167"/>
      <c r="XEJ32" s="167"/>
      <c r="XEK32" s="167"/>
      <c r="XEL32" s="167"/>
      <c r="XEM32" s="167"/>
      <c r="XEN32" s="167"/>
      <c r="XEO32" s="167"/>
      <c r="XEP32" s="167"/>
      <c r="XEQ32" s="167"/>
      <c r="XER32" s="167"/>
      <c r="XES32" s="167"/>
      <c r="XET32" s="167"/>
      <c r="XEU32" s="167"/>
      <c r="XEV32" s="167"/>
      <c r="XEW32" s="167"/>
      <c r="XEX32" s="167"/>
      <c r="XEY32" s="167"/>
      <c r="XEZ32" s="167"/>
      <c r="XFA32" s="167"/>
      <c r="XFB32" s="167"/>
      <c r="XFC32" s="167"/>
      <c r="XFD32" s="167"/>
    </row>
    <row r="33" spans="1:77 16342:16384" s="168" customFormat="1" ht="15" customHeight="1">
      <c r="A33" s="194">
        <v>30</v>
      </c>
      <c r="B33" s="192" t="s">
        <v>354</v>
      </c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P33" s="193" t="s">
        <v>269</v>
      </c>
      <c r="Q33" s="192" t="s">
        <v>268</v>
      </c>
      <c r="AE33" s="182">
        <v>16</v>
      </c>
      <c r="AF33" s="174" t="s">
        <v>256</v>
      </c>
      <c r="AG33" s="181"/>
      <c r="AH33" s="174"/>
      <c r="AI33" s="174"/>
      <c r="AJ33" s="174"/>
      <c r="AK33" s="174"/>
      <c r="AV33" s="174"/>
      <c r="BX33" s="178">
        <v>20</v>
      </c>
      <c r="BY33" s="174" t="s">
        <v>254</v>
      </c>
      <c r="XDN33" s="167"/>
      <c r="XDO33" s="167"/>
      <c r="XDP33" s="167"/>
      <c r="XDQ33" s="167"/>
      <c r="XDR33" s="167"/>
      <c r="XDS33" s="167"/>
      <c r="XDT33" s="167"/>
      <c r="XDU33" s="167"/>
      <c r="XDV33" s="167"/>
      <c r="XDW33" s="167"/>
      <c r="XDX33" s="167"/>
      <c r="XDY33" s="167"/>
      <c r="XDZ33" s="167"/>
      <c r="XEA33" s="167"/>
      <c r="XEB33" s="167"/>
      <c r="XEC33" s="167"/>
      <c r="XED33" s="167"/>
      <c r="XEE33" s="167"/>
      <c r="XEF33" s="167"/>
      <c r="XEG33" s="167"/>
      <c r="XEH33" s="167"/>
      <c r="XEI33" s="167"/>
      <c r="XEJ33" s="167"/>
      <c r="XEK33" s="167"/>
      <c r="XEL33" s="167"/>
      <c r="XEM33" s="167"/>
      <c r="XEN33" s="167"/>
      <c r="XEO33" s="167"/>
      <c r="XEP33" s="167"/>
      <c r="XEQ33" s="167"/>
      <c r="XER33" s="167"/>
      <c r="XES33" s="167"/>
      <c r="XET33" s="167"/>
      <c r="XEU33" s="167"/>
      <c r="XEV33" s="167"/>
      <c r="XEW33" s="167"/>
      <c r="XEX33" s="167"/>
      <c r="XEY33" s="167"/>
      <c r="XEZ33" s="167"/>
      <c r="XFA33" s="167"/>
      <c r="XFB33" s="167"/>
      <c r="XFC33" s="167"/>
      <c r="XFD33" s="167"/>
    </row>
    <row r="34" spans="1:77 16342:16384" s="168" customFormat="1" ht="15" customHeight="1">
      <c r="B34" s="174"/>
      <c r="C34" s="174"/>
      <c r="G34" s="174"/>
      <c r="H34" s="174"/>
      <c r="I34" s="174"/>
      <c r="J34" s="174"/>
      <c r="K34" s="174"/>
      <c r="L34" s="174"/>
      <c r="M34" s="174"/>
      <c r="N34" s="174"/>
      <c r="P34" s="438">
        <v>19</v>
      </c>
      <c r="Q34" s="315" t="s">
        <v>347</v>
      </c>
      <c r="AE34" s="279">
        <v>20</v>
      </c>
      <c r="AF34" s="179" t="s">
        <v>255</v>
      </c>
      <c r="AG34" s="174"/>
      <c r="AH34" s="174"/>
      <c r="AI34" s="174"/>
      <c r="AJ34" s="174"/>
      <c r="BI34" s="188"/>
      <c r="BJ34" s="187"/>
      <c r="BX34" s="175">
        <v>20</v>
      </c>
      <c r="BY34" s="174" t="s">
        <v>251</v>
      </c>
      <c r="XDN34" s="167"/>
      <c r="XDO34" s="167"/>
      <c r="XDP34" s="167"/>
      <c r="XDQ34" s="167"/>
      <c r="XDR34" s="167"/>
      <c r="XDS34" s="167"/>
      <c r="XDT34" s="167"/>
      <c r="XDU34" s="167"/>
      <c r="XDV34" s="167"/>
      <c r="XDW34" s="167"/>
      <c r="XDX34" s="167"/>
      <c r="XDY34" s="167"/>
      <c r="XDZ34" s="167"/>
      <c r="XEA34" s="167"/>
      <c r="XEB34" s="167"/>
      <c r="XEC34" s="167"/>
      <c r="XED34" s="167"/>
      <c r="XEE34" s="167"/>
      <c r="XEF34" s="167"/>
      <c r="XEG34" s="167"/>
      <c r="XEH34" s="167"/>
      <c r="XEI34" s="167"/>
      <c r="XEJ34" s="167"/>
      <c r="XEK34" s="167"/>
      <c r="XEL34" s="167"/>
      <c r="XEM34" s="167"/>
      <c r="XEN34" s="167"/>
      <c r="XEO34" s="167"/>
      <c r="XEP34" s="167"/>
      <c r="XEQ34" s="167"/>
      <c r="XER34" s="167"/>
      <c r="XES34" s="167"/>
      <c r="XET34" s="167"/>
      <c r="XEU34" s="167"/>
      <c r="XEV34" s="167"/>
      <c r="XEW34" s="167"/>
      <c r="XEX34" s="167"/>
      <c r="XEY34" s="167"/>
      <c r="XEZ34" s="167"/>
      <c r="XFA34" s="167"/>
      <c r="XFB34" s="167"/>
      <c r="XFC34" s="167"/>
      <c r="XFD34" s="167"/>
    </row>
    <row r="35" spans="1:77 16342:16384" s="168" customFormat="1" ht="15" customHeight="1">
      <c r="H35" s="174"/>
      <c r="I35" s="174"/>
      <c r="J35" s="174"/>
      <c r="K35" s="174"/>
      <c r="L35" s="174"/>
      <c r="M35" s="174"/>
      <c r="N35" s="174"/>
      <c r="AE35" s="177" t="s">
        <v>253</v>
      </c>
      <c r="AF35" s="176" t="s">
        <v>252</v>
      </c>
      <c r="AK35" s="174"/>
      <c r="AL35" s="174"/>
      <c r="XDN35" s="167"/>
      <c r="XDO35" s="167"/>
      <c r="XDP35" s="167"/>
      <c r="XDQ35" s="167"/>
      <c r="XDR35" s="167"/>
      <c r="XDS35" s="167"/>
      <c r="XDT35" s="167"/>
      <c r="XDU35" s="167"/>
      <c r="XDV35" s="167"/>
      <c r="XDW35" s="167"/>
      <c r="XDX35" s="167"/>
      <c r="XDY35" s="167"/>
      <c r="XDZ35" s="167"/>
      <c r="XEA35" s="167"/>
      <c r="XEB35" s="167"/>
      <c r="XEC35" s="167"/>
      <c r="XED35" s="167"/>
      <c r="XEE35" s="167"/>
      <c r="XEF35" s="167"/>
      <c r="XEG35" s="167"/>
      <c r="XEH35" s="167"/>
      <c r="XEI35" s="167"/>
      <c r="XEJ35" s="167"/>
      <c r="XEK35" s="167"/>
      <c r="XEL35" s="167"/>
      <c r="XEM35" s="167"/>
      <c r="XEN35" s="167"/>
      <c r="XEO35" s="167"/>
      <c r="XEP35" s="167"/>
      <c r="XEQ35" s="167"/>
      <c r="XER35" s="167"/>
      <c r="XES35" s="167"/>
      <c r="XET35" s="167"/>
      <c r="XEU35" s="167"/>
      <c r="XEV35" s="167"/>
      <c r="XEW35" s="167"/>
      <c r="XEX35" s="167"/>
      <c r="XEY35" s="167"/>
      <c r="XEZ35" s="167"/>
      <c r="XFA35" s="167"/>
      <c r="XFB35" s="167"/>
      <c r="XFC35" s="167"/>
      <c r="XFD35" s="167"/>
    </row>
    <row r="36" spans="1:77 16342:16384" s="168" customFormat="1" ht="15" customHeight="1">
      <c r="A36" s="173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XDN36" s="167"/>
      <c r="XDO36" s="167"/>
      <c r="XDP36" s="167"/>
      <c r="XDQ36" s="167"/>
      <c r="XDR36" s="167"/>
      <c r="XDS36" s="167"/>
      <c r="XDT36" s="167"/>
      <c r="XDU36" s="167"/>
      <c r="XDV36" s="167"/>
      <c r="XDW36" s="167"/>
      <c r="XDX36" s="167"/>
      <c r="XDY36" s="167"/>
      <c r="XDZ36" s="167"/>
      <c r="XEA36" s="167"/>
      <c r="XEB36" s="167"/>
      <c r="XEC36" s="167"/>
      <c r="XED36" s="167"/>
      <c r="XEE36" s="167"/>
      <c r="XEF36" s="167"/>
      <c r="XEG36" s="167"/>
      <c r="XEH36" s="167"/>
      <c r="XEI36" s="167"/>
      <c r="XEJ36" s="167"/>
      <c r="XEK36" s="167"/>
      <c r="XEL36" s="167"/>
      <c r="XEM36" s="167"/>
      <c r="XEN36" s="167"/>
      <c r="XEO36" s="167"/>
      <c r="XEP36" s="167"/>
      <c r="XEQ36" s="167"/>
      <c r="XER36" s="167"/>
      <c r="XES36" s="167"/>
      <c r="XET36" s="167"/>
      <c r="XEU36" s="167"/>
      <c r="XEV36" s="167"/>
      <c r="XEW36" s="167"/>
      <c r="XEX36" s="167"/>
      <c r="XEY36" s="167"/>
      <c r="XEZ36" s="167"/>
      <c r="XFA36" s="167"/>
      <c r="XFB36" s="167"/>
      <c r="XFC36" s="167"/>
      <c r="XFD36" s="167"/>
    </row>
    <row r="37" spans="1:77 16342:16384" s="168" customFormat="1" ht="15" customHeight="1">
      <c r="A37" s="173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XDN37" s="167"/>
      <c r="XDO37" s="167"/>
      <c r="XDP37" s="167"/>
      <c r="XDQ37" s="167"/>
      <c r="XDR37" s="167"/>
      <c r="XDS37" s="167"/>
      <c r="XDT37" s="167"/>
      <c r="XDU37" s="167"/>
      <c r="XDV37" s="167"/>
      <c r="XDW37" s="167"/>
      <c r="XDX37" s="167"/>
      <c r="XDY37" s="167"/>
      <c r="XDZ37" s="167"/>
      <c r="XEA37" s="167"/>
      <c r="XEB37" s="167"/>
      <c r="XEC37" s="167"/>
      <c r="XED37" s="167"/>
      <c r="XEE37" s="167"/>
      <c r="XEF37" s="167"/>
      <c r="XEG37" s="167"/>
      <c r="XEH37" s="167"/>
      <c r="XEI37" s="167"/>
      <c r="XEJ37" s="167"/>
      <c r="XEK37" s="167"/>
      <c r="XEL37" s="167"/>
      <c r="XEM37" s="167"/>
      <c r="XEN37" s="167"/>
      <c r="XEO37" s="167"/>
      <c r="XEP37" s="167"/>
      <c r="XEQ37" s="167"/>
      <c r="XER37" s="167"/>
      <c r="XES37" s="167"/>
      <c r="XET37" s="167"/>
      <c r="XEU37" s="167"/>
      <c r="XEV37" s="167"/>
      <c r="XEW37" s="167"/>
      <c r="XEX37" s="167"/>
      <c r="XEY37" s="167"/>
      <c r="XEZ37" s="167"/>
      <c r="XFA37" s="167"/>
      <c r="XFB37" s="167"/>
      <c r="XFC37" s="167"/>
      <c r="XFD37" s="167"/>
    </row>
    <row r="38" spans="1:77 16342:16384" s="168" customFormat="1" ht="15" customHeight="1">
      <c r="A38" s="173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XDN38" s="167"/>
      <c r="XDO38" s="167"/>
      <c r="XDP38" s="167"/>
      <c r="XDQ38" s="167"/>
      <c r="XDR38" s="167"/>
      <c r="XDS38" s="167"/>
      <c r="XDT38" s="167"/>
      <c r="XDU38" s="167"/>
      <c r="XDV38" s="167"/>
      <c r="XDW38" s="167"/>
      <c r="XDX38" s="167"/>
      <c r="XDY38" s="167"/>
      <c r="XDZ38" s="167"/>
      <c r="XEA38" s="167"/>
      <c r="XEB38" s="167"/>
      <c r="XEC38" s="167"/>
      <c r="XED38" s="167"/>
      <c r="XEE38" s="167"/>
      <c r="XEF38" s="167"/>
      <c r="XEG38" s="167"/>
      <c r="XEH38" s="167"/>
      <c r="XEI38" s="167"/>
      <c r="XEJ38" s="167"/>
      <c r="XEK38" s="167"/>
      <c r="XEL38" s="167"/>
      <c r="XEM38" s="167"/>
      <c r="XEN38" s="167"/>
      <c r="XEO38" s="167"/>
      <c r="XEP38" s="167"/>
      <c r="XEQ38" s="167"/>
      <c r="XER38" s="167"/>
      <c r="XES38" s="167"/>
      <c r="XET38" s="167"/>
      <c r="XEU38" s="167"/>
      <c r="XEV38" s="167"/>
      <c r="XEW38" s="167"/>
      <c r="XEX38" s="167"/>
      <c r="XEY38" s="167"/>
      <c r="XEZ38" s="167"/>
      <c r="XFA38" s="167"/>
      <c r="XFB38" s="167"/>
      <c r="XFC38" s="167"/>
      <c r="XFD38" s="167"/>
    </row>
    <row r="39" spans="1:77 16342:16384" s="168" customFormat="1" ht="15" customHeight="1">
      <c r="A39" s="173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XDN39" s="167"/>
      <c r="XDO39" s="167"/>
      <c r="XDP39" s="167"/>
      <c r="XDQ39" s="167"/>
      <c r="XDR39" s="167"/>
      <c r="XDS39" s="167"/>
      <c r="XDT39" s="167"/>
      <c r="XDU39" s="167"/>
      <c r="XDV39" s="167"/>
      <c r="XDW39" s="167"/>
      <c r="XDX39" s="167"/>
      <c r="XDY39" s="167"/>
      <c r="XDZ39" s="167"/>
      <c r="XEA39" s="167"/>
      <c r="XEB39" s="167"/>
      <c r="XEC39" s="167"/>
      <c r="XED39" s="167"/>
      <c r="XEE39" s="167"/>
      <c r="XEF39" s="167"/>
      <c r="XEG39" s="167"/>
      <c r="XEH39" s="167"/>
      <c r="XEI39" s="167"/>
      <c r="XEJ39" s="167"/>
      <c r="XEK39" s="167"/>
      <c r="XEL39" s="167"/>
      <c r="XEM39" s="167"/>
      <c r="XEN39" s="167"/>
      <c r="XEO39" s="167"/>
      <c r="XEP39" s="167"/>
      <c r="XEQ39" s="167"/>
      <c r="XER39" s="167"/>
      <c r="XES39" s="167"/>
      <c r="XET39" s="167"/>
      <c r="XEU39" s="167"/>
      <c r="XEV39" s="167"/>
      <c r="XEW39" s="167"/>
      <c r="XEX39" s="167"/>
      <c r="XEY39" s="167"/>
      <c r="XEZ39" s="167"/>
      <c r="XFA39" s="167"/>
      <c r="XFB39" s="167"/>
      <c r="XFC39" s="167"/>
      <c r="XFD39" s="167"/>
    </row>
    <row r="40" spans="1:77 16342:16384" s="168" customFormat="1" ht="15" customHeight="1">
      <c r="A40" s="173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XDN40" s="167"/>
      <c r="XDO40" s="167"/>
      <c r="XDP40" s="167"/>
      <c r="XDQ40" s="167"/>
      <c r="XDR40" s="167"/>
      <c r="XDS40" s="167"/>
      <c r="XDT40" s="167"/>
      <c r="XDU40" s="167"/>
      <c r="XDV40" s="167"/>
      <c r="XDW40" s="167"/>
      <c r="XDX40" s="167"/>
      <c r="XDY40" s="167"/>
      <c r="XDZ40" s="167"/>
      <c r="XEA40" s="167"/>
      <c r="XEB40" s="167"/>
      <c r="XEC40" s="167"/>
      <c r="XED40" s="167"/>
      <c r="XEE40" s="167"/>
      <c r="XEF40" s="167"/>
      <c r="XEG40" s="167"/>
      <c r="XEH40" s="167"/>
      <c r="XEI40" s="167"/>
      <c r="XEJ40" s="167"/>
      <c r="XEK40" s="167"/>
      <c r="XEL40" s="167"/>
      <c r="XEM40" s="167"/>
      <c r="XEN40" s="167"/>
      <c r="XEO40" s="167"/>
      <c r="XEP40" s="167"/>
      <c r="XEQ40" s="167"/>
      <c r="XER40" s="167"/>
      <c r="XES40" s="167"/>
      <c r="XET40" s="167"/>
      <c r="XEU40" s="167"/>
      <c r="XEV40" s="167"/>
      <c r="XEW40" s="167"/>
      <c r="XEX40" s="167"/>
      <c r="XEY40" s="167"/>
      <c r="XEZ40" s="167"/>
      <c r="XFA40" s="167"/>
      <c r="XFB40" s="167"/>
      <c r="XFC40" s="167"/>
      <c r="XFD40" s="167"/>
    </row>
    <row r="41" spans="1:77 16342:16384" s="168" customFormat="1" ht="15" customHeight="1">
      <c r="A41" s="173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XDN41" s="167"/>
      <c r="XDO41" s="167"/>
      <c r="XDP41" s="167"/>
      <c r="XDQ41" s="167"/>
      <c r="XDR41" s="167"/>
      <c r="XDS41" s="167"/>
      <c r="XDT41" s="167"/>
      <c r="XDU41" s="167"/>
      <c r="XDV41" s="167"/>
      <c r="XDW41" s="167"/>
      <c r="XDX41" s="167"/>
      <c r="XDY41" s="167"/>
      <c r="XDZ41" s="167"/>
      <c r="XEA41" s="167"/>
      <c r="XEB41" s="167"/>
      <c r="XEC41" s="167"/>
      <c r="XED41" s="167"/>
      <c r="XEE41" s="167"/>
      <c r="XEF41" s="167"/>
      <c r="XEG41" s="167"/>
      <c r="XEH41" s="167"/>
      <c r="XEI41" s="167"/>
      <c r="XEJ41" s="167"/>
      <c r="XEK41" s="167"/>
      <c r="XEL41" s="167"/>
      <c r="XEM41" s="167"/>
      <c r="XEN41" s="167"/>
      <c r="XEO41" s="167"/>
      <c r="XEP41" s="167"/>
      <c r="XEQ41" s="167"/>
      <c r="XER41" s="167"/>
      <c r="XES41" s="167"/>
      <c r="XET41" s="167"/>
      <c r="XEU41" s="167"/>
      <c r="XEV41" s="167"/>
      <c r="XEW41" s="167"/>
      <c r="XEX41" s="167"/>
      <c r="XEY41" s="167"/>
      <c r="XEZ41" s="167"/>
      <c r="XFA41" s="167"/>
      <c r="XFB41" s="167"/>
      <c r="XFC41" s="167"/>
      <c r="XFD41" s="167"/>
    </row>
    <row r="42" spans="1:77 16342:16384" s="168" customFormat="1" ht="15" customHeight="1">
      <c r="A42" s="173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XDN42" s="167"/>
      <c r="XDO42" s="167"/>
      <c r="XDP42" s="167"/>
      <c r="XDQ42" s="167"/>
      <c r="XDR42" s="167"/>
      <c r="XDS42" s="167"/>
      <c r="XDT42" s="167"/>
      <c r="XDU42" s="167"/>
      <c r="XDV42" s="167"/>
      <c r="XDW42" s="167"/>
      <c r="XDX42" s="167"/>
      <c r="XDY42" s="167"/>
      <c r="XDZ42" s="167"/>
      <c r="XEA42" s="167"/>
      <c r="XEB42" s="167"/>
      <c r="XEC42" s="167"/>
      <c r="XED42" s="167"/>
      <c r="XEE42" s="167"/>
      <c r="XEF42" s="167"/>
      <c r="XEG42" s="167"/>
      <c r="XEH42" s="167"/>
      <c r="XEI42" s="167"/>
      <c r="XEJ42" s="167"/>
      <c r="XEK42" s="167"/>
      <c r="XEL42" s="167"/>
      <c r="XEM42" s="167"/>
      <c r="XEN42" s="167"/>
      <c r="XEO42" s="167"/>
      <c r="XEP42" s="167"/>
      <c r="XEQ42" s="167"/>
      <c r="XER42" s="167"/>
      <c r="XES42" s="167"/>
      <c r="XET42" s="167"/>
      <c r="XEU42" s="167"/>
      <c r="XEV42" s="167"/>
      <c r="XEW42" s="167"/>
      <c r="XEX42" s="167"/>
      <c r="XEY42" s="167"/>
      <c r="XEZ42" s="167"/>
      <c r="XFA42" s="167"/>
      <c r="XFB42" s="167"/>
      <c r="XFC42" s="167"/>
      <c r="XFD42" s="167"/>
    </row>
    <row r="43" spans="1:77 16342:16384" s="168" customFormat="1" ht="15" customHeight="1">
      <c r="A43" s="173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XDN43" s="167"/>
      <c r="XDO43" s="167"/>
      <c r="XDP43" s="167"/>
      <c r="XDQ43" s="167"/>
      <c r="XDR43" s="167"/>
      <c r="XDS43" s="167"/>
      <c r="XDT43" s="167"/>
      <c r="XDU43" s="167"/>
      <c r="XDV43" s="167"/>
      <c r="XDW43" s="167"/>
      <c r="XDX43" s="167"/>
      <c r="XDY43" s="167"/>
      <c r="XDZ43" s="167"/>
      <c r="XEA43" s="167"/>
      <c r="XEB43" s="167"/>
      <c r="XEC43" s="167"/>
      <c r="XED43" s="167"/>
      <c r="XEE43" s="167"/>
      <c r="XEF43" s="167"/>
      <c r="XEG43" s="167"/>
      <c r="XEH43" s="167"/>
      <c r="XEI43" s="167"/>
      <c r="XEJ43" s="167"/>
      <c r="XEK43" s="167"/>
      <c r="XEL43" s="167"/>
      <c r="XEM43" s="167"/>
      <c r="XEN43" s="167"/>
      <c r="XEO43" s="167"/>
      <c r="XEP43" s="167"/>
      <c r="XEQ43" s="167"/>
      <c r="XER43" s="167"/>
      <c r="XES43" s="167"/>
      <c r="XET43" s="167"/>
      <c r="XEU43" s="167"/>
      <c r="XEV43" s="167"/>
      <c r="XEW43" s="167"/>
      <c r="XEX43" s="167"/>
      <c r="XEY43" s="167"/>
      <c r="XEZ43" s="167"/>
      <c r="XFA43" s="167"/>
      <c r="XFB43" s="167"/>
      <c r="XFC43" s="167"/>
      <c r="XFD43" s="167"/>
    </row>
    <row r="44" spans="1:77 16342:16384" s="168" customFormat="1" ht="15" customHeight="1">
      <c r="A44" s="173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XDN44" s="167"/>
      <c r="XDO44" s="167"/>
      <c r="XDP44" s="167"/>
      <c r="XDQ44" s="167"/>
      <c r="XDR44" s="167"/>
      <c r="XDS44" s="167"/>
      <c r="XDT44" s="167"/>
      <c r="XDU44" s="167"/>
      <c r="XDV44" s="167"/>
      <c r="XDW44" s="167"/>
      <c r="XDX44" s="167"/>
      <c r="XDY44" s="167"/>
      <c r="XDZ44" s="167"/>
      <c r="XEA44" s="167"/>
      <c r="XEB44" s="167"/>
      <c r="XEC44" s="167"/>
      <c r="XED44" s="167"/>
      <c r="XEE44" s="167"/>
      <c r="XEF44" s="167"/>
      <c r="XEG44" s="167"/>
      <c r="XEH44" s="167"/>
      <c r="XEI44" s="167"/>
      <c r="XEJ44" s="167"/>
      <c r="XEK44" s="167"/>
      <c r="XEL44" s="167"/>
      <c r="XEM44" s="167"/>
      <c r="XEN44" s="167"/>
      <c r="XEO44" s="167"/>
      <c r="XEP44" s="167"/>
      <c r="XEQ44" s="167"/>
      <c r="XER44" s="167"/>
      <c r="XES44" s="167"/>
      <c r="XET44" s="167"/>
      <c r="XEU44" s="167"/>
      <c r="XEV44" s="167"/>
      <c r="XEW44" s="167"/>
      <c r="XEX44" s="167"/>
      <c r="XEY44" s="167"/>
      <c r="XEZ44" s="167"/>
      <c r="XFA44" s="167"/>
      <c r="XFB44" s="167"/>
      <c r="XFC44" s="167"/>
      <c r="XFD44" s="167"/>
    </row>
    <row r="45" spans="1:77 16342:16384" s="168" customFormat="1" ht="15" customHeight="1">
      <c r="A45" s="173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XDN45" s="167"/>
      <c r="XDO45" s="167"/>
      <c r="XDP45" s="167"/>
      <c r="XDQ45" s="167"/>
      <c r="XDR45" s="167"/>
      <c r="XDS45" s="167"/>
      <c r="XDT45" s="167"/>
      <c r="XDU45" s="167"/>
      <c r="XDV45" s="167"/>
      <c r="XDW45" s="167"/>
      <c r="XDX45" s="167"/>
      <c r="XDY45" s="167"/>
      <c r="XDZ45" s="167"/>
      <c r="XEA45" s="167"/>
      <c r="XEB45" s="167"/>
      <c r="XEC45" s="167"/>
      <c r="XED45" s="167"/>
      <c r="XEE45" s="167"/>
      <c r="XEF45" s="167"/>
      <c r="XEG45" s="167"/>
      <c r="XEH45" s="167"/>
      <c r="XEI45" s="167"/>
      <c r="XEJ45" s="167"/>
      <c r="XEK45" s="167"/>
      <c r="XEL45" s="167"/>
      <c r="XEM45" s="167"/>
      <c r="XEN45" s="167"/>
      <c r="XEO45" s="167"/>
      <c r="XEP45" s="167"/>
      <c r="XEQ45" s="167"/>
      <c r="XER45" s="167"/>
      <c r="XES45" s="167"/>
      <c r="XET45" s="167"/>
      <c r="XEU45" s="167"/>
      <c r="XEV45" s="167"/>
      <c r="XEW45" s="167"/>
      <c r="XEX45" s="167"/>
      <c r="XEY45" s="167"/>
      <c r="XEZ45" s="167"/>
      <c r="XFA45" s="167"/>
      <c r="XFB45" s="167"/>
      <c r="XFC45" s="167"/>
      <c r="XFD45" s="167"/>
    </row>
    <row r="46" spans="1:77 16342:16384" s="168" customFormat="1" ht="15" customHeight="1">
      <c r="A46" s="173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XDN46" s="167"/>
      <c r="XDO46" s="167"/>
      <c r="XDP46" s="167"/>
      <c r="XDQ46" s="167"/>
      <c r="XDR46" s="167"/>
      <c r="XDS46" s="167"/>
      <c r="XDT46" s="167"/>
      <c r="XDU46" s="167"/>
      <c r="XDV46" s="167"/>
      <c r="XDW46" s="167"/>
      <c r="XDX46" s="167"/>
      <c r="XDY46" s="167"/>
      <c r="XDZ46" s="167"/>
      <c r="XEA46" s="167"/>
      <c r="XEB46" s="167"/>
      <c r="XEC46" s="167"/>
      <c r="XED46" s="167"/>
      <c r="XEE46" s="167"/>
      <c r="XEF46" s="167"/>
      <c r="XEG46" s="167"/>
      <c r="XEH46" s="167"/>
      <c r="XEI46" s="167"/>
      <c r="XEJ46" s="167"/>
      <c r="XEK46" s="167"/>
      <c r="XEL46" s="167"/>
      <c r="XEM46" s="167"/>
      <c r="XEN46" s="167"/>
      <c r="XEO46" s="167"/>
      <c r="XEP46" s="167"/>
      <c r="XEQ46" s="167"/>
      <c r="XER46" s="167"/>
      <c r="XES46" s="167"/>
      <c r="XET46" s="167"/>
      <c r="XEU46" s="167"/>
      <c r="XEV46" s="167"/>
      <c r="XEW46" s="167"/>
      <c r="XEX46" s="167"/>
      <c r="XEY46" s="167"/>
      <c r="XEZ46" s="167"/>
      <c r="XFA46" s="167"/>
      <c r="XFB46" s="167"/>
      <c r="XFC46" s="167"/>
      <c r="XFD46" s="167"/>
    </row>
    <row r="47" spans="1:77 16342:16384" s="168" customFormat="1" ht="15" customHeight="1">
      <c r="A47" s="173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XDN47" s="167"/>
      <c r="XDO47" s="167"/>
      <c r="XDP47" s="167"/>
      <c r="XDQ47" s="167"/>
      <c r="XDR47" s="167"/>
      <c r="XDS47" s="167"/>
      <c r="XDT47" s="167"/>
      <c r="XDU47" s="167"/>
      <c r="XDV47" s="167"/>
      <c r="XDW47" s="167"/>
      <c r="XDX47" s="167"/>
      <c r="XDY47" s="167"/>
      <c r="XDZ47" s="167"/>
      <c r="XEA47" s="167"/>
      <c r="XEB47" s="167"/>
      <c r="XEC47" s="167"/>
      <c r="XED47" s="167"/>
      <c r="XEE47" s="167"/>
      <c r="XEF47" s="167"/>
      <c r="XEG47" s="167"/>
      <c r="XEH47" s="167"/>
      <c r="XEI47" s="167"/>
      <c r="XEJ47" s="167"/>
      <c r="XEK47" s="167"/>
      <c r="XEL47" s="167"/>
      <c r="XEM47" s="167"/>
      <c r="XEN47" s="167"/>
      <c r="XEO47" s="167"/>
      <c r="XEP47" s="167"/>
      <c r="XEQ47" s="167"/>
      <c r="XER47" s="167"/>
      <c r="XES47" s="167"/>
      <c r="XET47" s="167"/>
      <c r="XEU47" s="167"/>
      <c r="XEV47" s="167"/>
      <c r="XEW47" s="167"/>
      <c r="XEX47" s="167"/>
      <c r="XEY47" s="167"/>
      <c r="XEZ47" s="167"/>
      <c r="XFA47" s="167"/>
      <c r="XFB47" s="167"/>
      <c r="XFC47" s="167"/>
      <c r="XFD47" s="167"/>
    </row>
    <row r="48" spans="1:77 16342:16384" s="168" customFormat="1" ht="15" customHeight="1">
      <c r="A48" s="173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XDN48" s="167"/>
      <c r="XDO48" s="167"/>
      <c r="XDP48" s="167"/>
      <c r="XDQ48" s="167"/>
      <c r="XDR48" s="167"/>
      <c r="XDS48" s="167"/>
      <c r="XDT48" s="167"/>
      <c r="XDU48" s="167"/>
      <c r="XDV48" s="167"/>
      <c r="XDW48" s="167"/>
      <c r="XDX48" s="167"/>
      <c r="XDY48" s="167"/>
      <c r="XDZ48" s="167"/>
      <c r="XEA48" s="167"/>
      <c r="XEB48" s="167"/>
      <c r="XEC48" s="167"/>
      <c r="XED48" s="167"/>
      <c r="XEE48" s="167"/>
      <c r="XEF48" s="167"/>
      <c r="XEG48" s="167"/>
      <c r="XEH48" s="167"/>
      <c r="XEI48" s="167"/>
      <c r="XEJ48" s="167"/>
      <c r="XEK48" s="167"/>
      <c r="XEL48" s="167"/>
      <c r="XEM48" s="167"/>
      <c r="XEN48" s="167"/>
      <c r="XEO48" s="167"/>
      <c r="XEP48" s="167"/>
      <c r="XEQ48" s="167"/>
      <c r="XER48" s="167"/>
      <c r="XES48" s="167"/>
      <c r="XET48" s="167"/>
      <c r="XEU48" s="167"/>
      <c r="XEV48" s="167"/>
      <c r="XEW48" s="167"/>
      <c r="XEX48" s="167"/>
      <c r="XEY48" s="167"/>
      <c r="XEZ48" s="167"/>
      <c r="XFA48" s="167"/>
      <c r="XFB48" s="167"/>
      <c r="XFC48" s="167"/>
      <c r="XFD48" s="167"/>
    </row>
    <row r="49" spans="1:44 16321:16384" s="168" customFormat="1" ht="21.95" customHeight="1"/>
    <row r="50" spans="1:44 16321:16384" s="168" customFormat="1" ht="23.1" customHeight="1">
      <c r="XCZ50" s="167"/>
      <c r="XDA50" s="167"/>
      <c r="XDB50" s="167"/>
      <c r="XDC50" s="167"/>
      <c r="XDD50" s="167"/>
      <c r="XDE50" s="167"/>
      <c r="XDF50" s="167"/>
      <c r="XDG50" s="167"/>
      <c r="XDH50" s="167"/>
      <c r="XDI50" s="167"/>
      <c r="XDJ50" s="167"/>
      <c r="XDK50" s="167"/>
      <c r="XDL50" s="167"/>
      <c r="XDM50" s="167"/>
      <c r="XDN50" s="167"/>
      <c r="XDO50" s="167"/>
      <c r="XDP50" s="167"/>
      <c r="XDQ50" s="167"/>
      <c r="XDR50" s="167"/>
      <c r="XDS50" s="167"/>
      <c r="XDT50" s="167"/>
      <c r="XDU50" s="167"/>
      <c r="XDV50" s="167"/>
      <c r="XDW50" s="167"/>
      <c r="XDX50" s="167"/>
      <c r="XDY50" s="167"/>
      <c r="XDZ50" s="167"/>
      <c r="XEA50" s="167"/>
      <c r="XEB50" s="167"/>
      <c r="XEC50" s="167"/>
      <c r="XED50" s="167"/>
      <c r="XEE50" s="167"/>
      <c r="XEF50" s="167"/>
      <c r="XEG50" s="167"/>
      <c r="XEH50" s="167"/>
      <c r="XEI50" s="167"/>
      <c r="XEJ50" s="167"/>
      <c r="XEK50" s="167"/>
      <c r="XEL50" s="167"/>
      <c r="XEM50" s="167"/>
      <c r="XEN50" s="167"/>
      <c r="XEO50" s="167"/>
      <c r="XEP50" s="167"/>
      <c r="XEQ50" s="167"/>
      <c r="XER50" s="167"/>
      <c r="XES50" s="167"/>
      <c r="XET50" s="167"/>
      <c r="XEU50" s="167"/>
      <c r="XEV50" s="167"/>
      <c r="XEW50" s="167"/>
      <c r="XEX50" s="167"/>
      <c r="XEY50" s="167"/>
      <c r="XEZ50" s="167"/>
      <c r="XFA50" s="167"/>
      <c r="XFB50" s="167"/>
      <c r="XFC50" s="167"/>
      <c r="XFD50" s="167"/>
    </row>
    <row r="51" spans="1:44 16321:16384" s="168" customFormat="1">
      <c r="XCT51" s="167"/>
      <c r="XCU51" s="167"/>
      <c r="XCV51" s="167"/>
      <c r="XCW51" s="167"/>
      <c r="XCX51" s="167"/>
      <c r="XCY51" s="167"/>
      <c r="XCZ51" s="167"/>
      <c r="XDA51" s="167"/>
      <c r="XDB51" s="167"/>
      <c r="XDC51" s="167"/>
      <c r="XDD51" s="167"/>
      <c r="XDE51" s="167"/>
      <c r="XDF51" s="167"/>
      <c r="XDG51" s="167"/>
      <c r="XDH51" s="167"/>
      <c r="XDI51" s="167"/>
      <c r="XDJ51" s="167"/>
      <c r="XDK51" s="167"/>
      <c r="XDL51" s="167"/>
      <c r="XDM51" s="167"/>
      <c r="XDN51" s="167"/>
      <c r="XDO51" s="167"/>
      <c r="XDP51" s="167"/>
      <c r="XDQ51" s="167"/>
      <c r="XDR51" s="167"/>
      <c r="XDS51" s="167"/>
      <c r="XDT51" s="167"/>
      <c r="XDU51" s="167"/>
      <c r="XDV51" s="167"/>
      <c r="XDW51" s="167"/>
      <c r="XDX51" s="167"/>
      <c r="XDY51" s="167"/>
      <c r="XDZ51" s="167"/>
      <c r="XEA51" s="167"/>
      <c r="XEB51" s="167"/>
      <c r="XEC51" s="167"/>
      <c r="XED51" s="167"/>
      <c r="XEE51" s="167"/>
      <c r="XEF51" s="167"/>
      <c r="XEG51" s="167"/>
      <c r="XEH51" s="167"/>
      <c r="XEI51" s="167"/>
      <c r="XEJ51" s="167"/>
      <c r="XEK51" s="167"/>
      <c r="XEL51" s="167"/>
      <c r="XEM51" s="167"/>
      <c r="XEN51" s="167"/>
      <c r="XEO51" s="167"/>
      <c r="XEP51" s="167"/>
      <c r="XEQ51" s="167"/>
      <c r="XER51" s="167"/>
      <c r="XES51" s="167"/>
      <c r="XET51" s="167"/>
      <c r="XEU51" s="167"/>
      <c r="XEV51" s="167"/>
      <c r="XEW51" s="167"/>
      <c r="XEX51" s="167"/>
      <c r="XEY51" s="167"/>
      <c r="XEZ51" s="167"/>
      <c r="XFA51" s="167"/>
      <c r="XFB51" s="167"/>
      <c r="XFC51" s="167"/>
      <c r="XFD51" s="167"/>
    </row>
    <row r="52" spans="1:44 16321:16384" s="168" customFormat="1">
      <c r="XCS52" s="167"/>
      <c r="XCT52" s="167"/>
      <c r="XCU52" s="167"/>
      <c r="XCV52" s="167"/>
      <c r="XCW52" s="167"/>
      <c r="XCX52" s="167"/>
      <c r="XCY52" s="167"/>
      <c r="XCZ52" s="167"/>
      <c r="XDA52" s="167"/>
      <c r="XDB52" s="167"/>
      <c r="XDC52" s="167"/>
      <c r="XDD52" s="167"/>
      <c r="XDE52" s="167"/>
      <c r="XDF52" s="167"/>
      <c r="XDG52" s="167"/>
      <c r="XDH52" s="167"/>
      <c r="XDI52" s="167"/>
      <c r="XDJ52" s="167"/>
      <c r="XDK52" s="167"/>
      <c r="XDL52" s="167"/>
      <c r="XDM52" s="167"/>
      <c r="XDN52" s="167"/>
      <c r="XDO52" s="167"/>
      <c r="XDP52" s="167"/>
      <c r="XDQ52" s="167"/>
      <c r="XDR52" s="167"/>
      <c r="XDS52" s="167"/>
      <c r="XDT52" s="167"/>
      <c r="XDU52" s="167"/>
      <c r="XDV52" s="167"/>
      <c r="XDW52" s="167"/>
      <c r="XDX52" s="167"/>
      <c r="XDY52" s="167"/>
      <c r="XDZ52" s="167"/>
      <c r="XEA52" s="167"/>
      <c r="XEB52" s="167"/>
      <c r="XEC52" s="167"/>
      <c r="XED52" s="167"/>
      <c r="XEE52" s="167"/>
      <c r="XEF52" s="167"/>
      <c r="XEG52" s="167"/>
      <c r="XEH52" s="167"/>
      <c r="XEI52" s="167"/>
      <c r="XEJ52" s="167"/>
      <c r="XEK52" s="167"/>
      <c r="XEL52" s="167"/>
      <c r="XEM52" s="167"/>
      <c r="XEN52" s="167"/>
      <c r="XEO52" s="167"/>
      <c r="XEP52" s="167"/>
      <c r="XEQ52" s="167"/>
      <c r="XER52" s="167"/>
      <c r="XES52" s="167"/>
      <c r="XET52" s="167"/>
      <c r="XEU52" s="167"/>
      <c r="XEV52" s="167"/>
      <c r="XEW52" s="167"/>
      <c r="XEX52" s="167"/>
      <c r="XEY52" s="167"/>
      <c r="XEZ52" s="167"/>
      <c r="XFA52" s="167"/>
      <c r="XFB52" s="167"/>
      <c r="XFC52" s="167"/>
      <c r="XFD52" s="167"/>
    </row>
    <row r="53" spans="1:44 16321:16384" s="168" customFormat="1">
      <c r="XCS53" s="167"/>
      <c r="XCT53" s="167"/>
      <c r="XCU53" s="167"/>
      <c r="XCV53" s="167"/>
      <c r="XCW53" s="167"/>
      <c r="XCX53" s="167"/>
      <c r="XCY53" s="167"/>
      <c r="XCZ53" s="167"/>
      <c r="XDA53" s="167"/>
      <c r="XDB53" s="167"/>
      <c r="XDC53" s="167"/>
      <c r="XDD53" s="167"/>
      <c r="XDE53" s="167"/>
      <c r="XDF53" s="167"/>
      <c r="XDG53" s="167"/>
      <c r="XDH53" s="167"/>
      <c r="XDI53" s="167"/>
      <c r="XDJ53" s="167"/>
      <c r="XDK53" s="167"/>
      <c r="XDL53" s="167"/>
      <c r="XDM53" s="167"/>
      <c r="XDN53" s="167"/>
      <c r="XDO53" s="167"/>
      <c r="XDP53" s="167"/>
      <c r="XDQ53" s="167"/>
      <c r="XDR53" s="167"/>
      <c r="XDS53" s="167"/>
      <c r="XDT53" s="167"/>
      <c r="XDU53" s="167"/>
      <c r="XDV53" s="167"/>
      <c r="XDW53" s="167"/>
      <c r="XDX53" s="167"/>
      <c r="XDY53" s="167"/>
      <c r="XDZ53" s="167"/>
      <c r="XEA53" s="167"/>
      <c r="XEB53" s="167"/>
      <c r="XEC53" s="167"/>
      <c r="XED53" s="167"/>
      <c r="XEE53" s="167"/>
      <c r="XEF53" s="167"/>
      <c r="XEG53" s="167"/>
      <c r="XEH53" s="167"/>
      <c r="XEI53" s="167"/>
      <c r="XEJ53" s="167"/>
      <c r="XEK53" s="167"/>
      <c r="XEL53" s="167"/>
      <c r="XEM53" s="167"/>
      <c r="XEN53" s="167"/>
      <c r="XEO53" s="167"/>
      <c r="XEP53" s="167"/>
      <c r="XEQ53" s="167"/>
      <c r="XER53" s="167"/>
      <c r="XES53" s="167"/>
      <c r="XET53" s="167"/>
      <c r="XEU53" s="167"/>
      <c r="XEV53" s="167"/>
      <c r="XEW53" s="167"/>
      <c r="XEX53" s="167"/>
      <c r="XEY53" s="167"/>
      <c r="XEZ53" s="167"/>
      <c r="XFA53" s="167"/>
      <c r="XFB53" s="167"/>
      <c r="XFC53" s="167"/>
      <c r="XFD53" s="167"/>
    </row>
    <row r="54" spans="1:44 16321:16384" s="168" customFormat="1">
      <c r="XCS54" s="167"/>
      <c r="XCT54" s="167"/>
      <c r="XCU54" s="167"/>
      <c r="XCV54" s="167"/>
      <c r="XCW54" s="167"/>
      <c r="XCX54" s="167"/>
      <c r="XCY54" s="167"/>
      <c r="XCZ54" s="167"/>
      <c r="XDA54" s="167"/>
      <c r="XDB54" s="167"/>
      <c r="XDC54" s="167"/>
      <c r="XDD54" s="167"/>
      <c r="XDE54" s="167"/>
      <c r="XDF54" s="167"/>
      <c r="XDG54" s="167"/>
      <c r="XDH54" s="167"/>
      <c r="XDI54" s="167"/>
      <c r="XDJ54" s="167"/>
      <c r="XDK54" s="167"/>
      <c r="XDL54" s="167"/>
      <c r="XDM54" s="167"/>
      <c r="XDN54" s="167"/>
      <c r="XDO54" s="167"/>
      <c r="XDP54" s="167"/>
      <c r="XDQ54" s="167"/>
      <c r="XDR54" s="167"/>
      <c r="XDS54" s="167"/>
      <c r="XDT54" s="167"/>
      <c r="XDU54" s="167"/>
      <c r="XDV54" s="167"/>
      <c r="XDW54" s="167"/>
      <c r="XDX54" s="167"/>
      <c r="XDY54" s="167"/>
      <c r="XDZ54" s="167"/>
      <c r="XEA54" s="167"/>
      <c r="XEB54" s="167"/>
      <c r="XEC54" s="167"/>
      <c r="XED54" s="167"/>
      <c r="XEE54" s="167"/>
      <c r="XEF54" s="167"/>
      <c r="XEG54" s="167"/>
      <c r="XEH54" s="167"/>
      <c r="XEI54" s="167"/>
      <c r="XEJ54" s="167"/>
      <c r="XEK54" s="167"/>
      <c r="XEL54" s="167"/>
      <c r="XEM54" s="167"/>
      <c r="XEN54" s="167"/>
      <c r="XEO54" s="167"/>
      <c r="XEP54" s="167"/>
      <c r="XEQ54" s="167"/>
      <c r="XER54" s="167"/>
      <c r="XES54" s="167"/>
      <c r="XET54" s="167"/>
      <c r="XEU54" s="167"/>
      <c r="XEV54" s="167"/>
      <c r="XEW54" s="167"/>
      <c r="XEX54" s="167"/>
      <c r="XEY54" s="167"/>
      <c r="XEZ54" s="167"/>
      <c r="XFA54" s="167"/>
      <c r="XFB54" s="167"/>
      <c r="XFC54" s="167"/>
      <c r="XFD54" s="167"/>
    </row>
    <row r="55" spans="1:44 16321:16384" s="168" customFormat="1" ht="21" customHeight="1">
      <c r="XCS55" s="167"/>
      <c r="XCT55" s="167"/>
      <c r="XCU55" s="167"/>
      <c r="XCV55" s="167"/>
      <c r="XCW55" s="167"/>
      <c r="XCX55" s="167"/>
      <c r="XCY55" s="167"/>
      <c r="XCZ55" s="167"/>
      <c r="XDA55" s="167"/>
      <c r="XDB55" s="167"/>
      <c r="XDC55" s="167"/>
      <c r="XDD55" s="167"/>
      <c r="XDE55" s="167"/>
      <c r="XDF55" s="167"/>
      <c r="XDG55" s="167"/>
      <c r="XDH55" s="167"/>
      <c r="XDI55" s="167"/>
      <c r="XDJ55" s="167"/>
      <c r="XDK55" s="167"/>
      <c r="XDL55" s="167"/>
      <c r="XDM55" s="167"/>
      <c r="XDN55" s="167"/>
      <c r="XDO55" s="167"/>
      <c r="XDP55" s="167"/>
      <c r="XDQ55" s="167"/>
      <c r="XDR55" s="167"/>
      <c r="XDS55" s="167"/>
      <c r="XDT55" s="167"/>
      <c r="XDU55" s="167"/>
      <c r="XDV55" s="167"/>
      <c r="XDW55" s="167"/>
      <c r="XDX55" s="167"/>
      <c r="XDY55" s="167"/>
      <c r="XDZ55" s="167"/>
      <c r="XEA55" s="167"/>
      <c r="XEB55" s="167"/>
      <c r="XEC55" s="167"/>
      <c r="XED55" s="167"/>
      <c r="XEE55" s="167"/>
      <c r="XEF55" s="167"/>
      <c r="XEG55" s="167"/>
      <c r="XEH55" s="167"/>
      <c r="XEI55" s="167"/>
      <c r="XEJ55" s="167"/>
      <c r="XEK55" s="167"/>
      <c r="XEL55" s="167"/>
      <c r="XEM55" s="167"/>
      <c r="XEN55" s="167"/>
      <c r="XEO55" s="167"/>
      <c r="XEP55" s="167"/>
      <c r="XEQ55" s="167"/>
      <c r="XER55" s="167"/>
      <c r="XES55" s="167"/>
      <c r="XET55" s="167"/>
      <c r="XEU55" s="167"/>
      <c r="XEV55" s="167"/>
      <c r="XEW55" s="167"/>
      <c r="XEX55" s="167"/>
      <c r="XEY55" s="167"/>
      <c r="XEZ55" s="167"/>
      <c r="XFA55" s="167"/>
      <c r="XFB55" s="167"/>
      <c r="XFC55" s="167"/>
      <c r="XFD55" s="167"/>
    </row>
    <row r="56" spans="1:44 16321:16384" s="168" customFormat="1">
      <c r="XDB56" s="167"/>
      <c r="XDC56" s="167"/>
      <c r="XDD56" s="167"/>
      <c r="XDE56" s="167"/>
      <c r="XDF56" s="167"/>
      <c r="XDG56" s="167"/>
      <c r="XDH56" s="167"/>
      <c r="XDI56" s="167"/>
      <c r="XDJ56" s="167"/>
      <c r="XDK56" s="167"/>
      <c r="XDL56" s="167"/>
      <c r="XDM56" s="167"/>
      <c r="XDN56" s="167"/>
      <c r="XDO56" s="167"/>
      <c r="XDP56" s="167"/>
      <c r="XDQ56" s="167"/>
      <c r="XDR56" s="167"/>
      <c r="XDS56" s="167"/>
      <c r="XDT56" s="167"/>
      <c r="XDU56" s="167"/>
      <c r="XDV56" s="167"/>
      <c r="XDW56" s="167"/>
      <c r="XDX56" s="167"/>
      <c r="XDY56" s="167"/>
      <c r="XDZ56" s="167"/>
      <c r="XEA56" s="167"/>
      <c r="XEB56" s="167"/>
      <c r="XEC56" s="167"/>
      <c r="XED56" s="167"/>
      <c r="XEE56" s="167"/>
      <c r="XEF56" s="167"/>
      <c r="XEG56" s="167"/>
      <c r="XEH56" s="167"/>
      <c r="XEI56" s="167"/>
      <c r="XEJ56" s="167"/>
      <c r="XEK56" s="167"/>
      <c r="XEL56" s="167"/>
      <c r="XEM56" s="167"/>
      <c r="XEN56" s="167"/>
      <c r="XEO56" s="167"/>
      <c r="XEP56" s="167"/>
      <c r="XEQ56" s="167"/>
      <c r="XER56" s="167"/>
      <c r="XES56" s="167"/>
      <c r="XET56" s="167"/>
      <c r="XEU56" s="167"/>
      <c r="XEV56" s="167"/>
      <c r="XEW56" s="167"/>
      <c r="XEX56" s="167"/>
      <c r="XEY56" s="167"/>
      <c r="XEZ56" s="167"/>
      <c r="XFA56" s="167"/>
      <c r="XFB56" s="167"/>
      <c r="XFC56" s="167"/>
      <c r="XFD56" s="167"/>
    </row>
    <row r="58" spans="1:44 16321:16384" ht="12.95" customHeight="1"/>
    <row r="59" spans="1:44 16321:16384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</row>
    <row r="60" spans="1:44 16321:16384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</row>
    <row r="61" spans="1:44 16321:16384">
      <c r="A61" s="167"/>
      <c r="B61" s="171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</row>
    <row r="62" spans="1:44 16321:16384">
      <c r="P62" s="167"/>
      <c r="Q62" s="167"/>
      <c r="R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</row>
    <row r="63" spans="1:44 16321:16384">
      <c r="P63" s="167"/>
      <c r="Q63" s="167"/>
      <c r="R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</row>
    <row r="66" spans="1:44" ht="20.100000000000001" customHeight="1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70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70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</row>
    <row r="67" spans="1:44" ht="20.100000000000001" customHeight="1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70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70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</row>
    <row r="68" spans="1:44" ht="20.100000000000001" customHeight="1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70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70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</row>
    <row r="69" spans="1:44" ht="20.100000000000001" customHeight="1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70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70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</row>
    <row r="70" spans="1:44" ht="20.100000000000001" customHeight="1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70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70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</row>
    <row r="71" spans="1:44" ht="20.100000000000001" customHeight="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70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70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</row>
    <row r="72" spans="1:44" ht="14.1" customHeight="1"/>
    <row r="73" spans="1:44" ht="15.95" customHeight="1"/>
    <row r="74" spans="1:44" ht="12.9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</row>
    <row r="75" spans="1:44" ht="12.95" customHeight="1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</row>
    <row r="76" spans="1:44" ht="12.95" customHeight="1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</row>
    <row r="77" spans="1:44" ht="12.95" customHeight="1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</row>
    <row r="78" spans="1:44" ht="12.95" customHeight="1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</row>
    <row r="82" spans="1:44" ht="20.100000000000001" customHeight="1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9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9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</row>
    <row r="83" spans="1:44" ht="20.100000000000001" customHeight="1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9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9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</row>
    <row r="84" spans="1:44" ht="20.100000000000001" customHeight="1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9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9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</row>
    <row r="85" spans="1:44" ht="20.100000000000001" customHeight="1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9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9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</row>
    <row r="86" spans="1:44" ht="20.100000000000001" customHeight="1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9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9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</row>
    <row r="87" spans="1:44" ht="15" customHeight="1"/>
  </sheetData>
  <mergeCells count="153">
    <mergeCell ref="A3:N3"/>
    <mergeCell ref="P3:AC3"/>
    <mergeCell ref="AE3:AR3"/>
    <mergeCell ref="AT3:BG3"/>
    <mergeCell ref="BI3:BV3"/>
    <mergeCell ref="BX3:CK3"/>
    <mergeCell ref="P4:Q4"/>
    <mergeCell ref="R4:S4"/>
    <mergeCell ref="T4:U4"/>
    <mergeCell ref="V4:W4"/>
    <mergeCell ref="X4:Y4"/>
    <mergeCell ref="A4:B4"/>
    <mergeCell ref="C4:D4"/>
    <mergeCell ref="E4:F4"/>
    <mergeCell ref="G4:H4"/>
    <mergeCell ref="I4:J4"/>
    <mergeCell ref="K4:L4"/>
    <mergeCell ref="BI4:BJ4"/>
    <mergeCell ref="BK4:BL4"/>
    <mergeCell ref="BM4:BN4"/>
    <mergeCell ref="CJ4:CK4"/>
    <mergeCell ref="BD4:BE4"/>
    <mergeCell ref="BZ4:CA4"/>
    <mergeCell ref="CB4:CC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CD4:CE4"/>
    <mergeCell ref="CF4:CG4"/>
    <mergeCell ref="CH4:CI4"/>
    <mergeCell ref="BO4:BP4"/>
    <mergeCell ref="BQ4:BR4"/>
    <mergeCell ref="BS4:BT4"/>
    <mergeCell ref="BU4:BV4"/>
    <mergeCell ref="BX4:BY4"/>
    <mergeCell ref="K9:L9"/>
    <mergeCell ref="M9:N9"/>
    <mergeCell ref="Z4:AA4"/>
    <mergeCell ref="AB4:AC4"/>
    <mergeCell ref="AE4:AF4"/>
    <mergeCell ref="AG4:AH4"/>
    <mergeCell ref="AI4:AJ4"/>
    <mergeCell ref="AK4:AL4"/>
    <mergeCell ref="M4:N4"/>
    <mergeCell ref="AX10:AY10"/>
    <mergeCell ref="AZ10:BA10"/>
    <mergeCell ref="AX5:AY5"/>
    <mergeCell ref="AZ5:BA5"/>
    <mergeCell ref="BF4:BG4"/>
    <mergeCell ref="AM4:AN4"/>
    <mergeCell ref="AO4:AP4"/>
    <mergeCell ref="AQ4:AR4"/>
    <mergeCell ref="AT4:AU4"/>
    <mergeCell ref="AV4:AW4"/>
    <mergeCell ref="AX4:AY4"/>
    <mergeCell ref="AZ4:BA4"/>
    <mergeCell ref="BB4:BC4"/>
    <mergeCell ref="BB10:BC10"/>
    <mergeCell ref="BD10:BE10"/>
    <mergeCell ref="BF10:BG10"/>
    <mergeCell ref="A11:G11"/>
    <mergeCell ref="P11:W11"/>
    <mergeCell ref="AE11:AR11"/>
    <mergeCell ref="AT11:BG11"/>
    <mergeCell ref="AK10:AL10"/>
    <mergeCell ref="AM10:AN10"/>
    <mergeCell ref="AO10:AP10"/>
    <mergeCell ref="AQ10:AR10"/>
    <mergeCell ref="AT10:AU10"/>
    <mergeCell ref="AV10:AW10"/>
    <mergeCell ref="A10:N10"/>
    <mergeCell ref="P10:AC10"/>
    <mergeCell ref="AG10:AH10"/>
    <mergeCell ref="AI10:AJ10"/>
    <mergeCell ref="A19:N19"/>
    <mergeCell ref="P19:AC19"/>
    <mergeCell ref="AE19:AR19"/>
    <mergeCell ref="AT19:BG19"/>
    <mergeCell ref="BI19:BV19"/>
    <mergeCell ref="BX19:CK19"/>
    <mergeCell ref="BI11:BV11"/>
    <mergeCell ref="BX11:CK11"/>
    <mergeCell ref="AE12:AM12"/>
    <mergeCell ref="AT12:AZ12"/>
    <mergeCell ref="BA12:BG12"/>
    <mergeCell ref="BI12:BN12"/>
    <mergeCell ref="BX12:CC12"/>
    <mergeCell ref="M20:N20"/>
    <mergeCell ref="P20:Q20"/>
    <mergeCell ref="R20:S20"/>
    <mergeCell ref="T20:U20"/>
    <mergeCell ref="V20:W20"/>
    <mergeCell ref="X20:Y20"/>
    <mergeCell ref="A20:B20"/>
    <mergeCell ref="C20:D20"/>
    <mergeCell ref="E20:F20"/>
    <mergeCell ref="G20:H20"/>
    <mergeCell ref="I20:J20"/>
    <mergeCell ref="K20:L20"/>
    <mergeCell ref="A28:G28"/>
    <mergeCell ref="P28:V28"/>
    <mergeCell ref="Y28:AC28"/>
    <mergeCell ref="BX28:CD28"/>
    <mergeCell ref="H32:N32"/>
    <mergeCell ref="A1:CK1"/>
    <mergeCell ref="AT25:BG25"/>
    <mergeCell ref="P26:AD26"/>
    <mergeCell ref="AE26:AR26"/>
    <mergeCell ref="AT26:AZ26"/>
    <mergeCell ref="BM20:BN20"/>
    <mergeCell ref="BO20:BP20"/>
    <mergeCell ref="BQ20:BR20"/>
    <mergeCell ref="BS20:BT20"/>
    <mergeCell ref="BU20:BV20"/>
    <mergeCell ref="BX20:BY20"/>
    <mergeCell ref="AZ20:BA20"/>
    <mergeCell ref="BB20:BC20"/>
    <mergeCell ref="BD20:BE20"/>
    <mergeCell ref="BF20:BG20"/>
    <mergeCell ref="BI20:BJ20"/>
    <mergeCell ref="BK20:BL20"/>
    <mergeCell ref="AM20:AN20"/>
    <mergeCell ref="AO20:AP20"/>
    <mergeCell ref="CJ20:CK20"/>
    <mergeCell ref="A21:B21"/>
    <mergeCell ref="C21:D21"/>
    <mergeCell ref="E21:F21"/>
    <mergeCell ref="BI26:BV26"/>
    <mergeCell ref="A27:N27"/>
    <mergeCell ref="AE27:AL27"/>
    <mergeCell ref="BI27:BN27"/>
    <mergeCell ref="BX27:CK27"/>
    <mergeCell ref="BZ20:CA20"/>
    <mergeCell ref="CB20:CC20"/>
    <mergeCell ref="CD20:CE20"/>
    <mergeCell ref="CF20:CG20"/>
    <mergeCell ref="CH20:CI20"/>
    <mergeCell ref="AQ20:AR20"/>
    <mergeCell ref="AT20:AU20"/>
    <mergeCell ref="AV20:AW20"/>
    <mergeCell ref="AX20:AY20"/>
    <mergeCell ref="Z20:AA20"/>
    <mergeCell ref="AB20:AC20"/>
    <mergeCell ref="AE20:AF20"/>
    <mergeCell ref="AG20:AH20"/>
    <mergeCell ref="AI20:AJ20"/>
    <mergeCell ref="AK20:AL20"/>
  </mergeCells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V36"/>
  <sheetViews>
    <sheetView topLeftCell="V1" zoomScale="140" zoomScaleNormal="140" workbookViewId="0">
      <selection activeCell="AP38" sqref="AP38"/>
    </sheetView>
  </sheetViews>
  <sheetFormatPr defaultRowHeight="15"/>
  <cols>
    <col min="2" max="8" width="5.28515625" customWidth="1"/>
    <col min="9" max="9" width="1" customWidth="1"/>
    <col min="10" max="16" width="5.28515625" customWidth="1"/>
    <col min="17" max="17" width="1" customWidth="1"/>
    <col min="18" max="24" width="5.28515625" customWidth="1"/>
    <col min="25" max="25" width="1" customWidth="1"/>
    <col min="26" max="32" width="5.28515625" customWidth="1"/>
    <col min="33" max="33" width="1" customWidth="1"/>
    <col min="34" max="40" width="5.28515625" customWidth="1"/>
    <col min="41" max="41" width="1" customWidth="1"/>
    <col min="42" max="48" width="5.28515625" customWidth="1"/>
  </cols>
  <sheetData>
    <row r="2" spans="2:48" ht="49.5">
      <c r="B2" s="525" t="s">
        <v>150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5"/>
      <c r="U2" s="525"/>
      <c r="V2" s="525"/>
      <c r="W2" s="525"/>
      <c r="X2" s="525"/>
      <c r="Y2" s="525"/>
      <c r="Z2" s="525"/>
      <c r="AA2" s="525"/>
      <c r="AB2" s="525"/>
      <c r="AC2" s="525"/>
      <c r="AD2" s="525"/>
      <c r="AE2" s="525"/>
      <c r="AF2" s="525"/>
      <c r="AG2" s="525"/>
      <c r="AH2" s="525"/>
      <c r="AI2" s="525"/>
      <c r="AJ2" s="525"/>
      <c r="AK2" s="525"/>
      <c r="AL2" s="525"/>
      <c r="AM2" s="525"/>
      <c r="AN2" s="525"/>
      <c r="AO2" s="525"/>
      <c r="AP2" s="525"/>
      <c r="AQ2" s="525"/>
      <c r="AR2" s="525"/>
      <c r="AS2" s="525"/>
      <c r="AT2" s="525"/>
      <c r="AU2" s="525"/>
      <c r="AV2" s="525"/>
    </row>
    <row r="3" spans="2:48" ht="15.75" thickBot="1"/>
    <row r="4" spans="2:48">
      <c r="B4" s="514">
        <v>45474</v>
      </c>
      <c r="C4" s="515"/>
      <c r="D4" s="515"/>
      <c r="E4" s="515"/>
      <c r="F4" s="515"/>
      <c r="G4" s="515"/>
      <c r="H4" s="516"/>
      <c r="I4" s="2"/>
      <c r="J4" s="514">
        <v>45505</v>
      </c>
      <c r="K4" s="515"/>
      <c r="L4" s="515"/>
      <c r="M4" s="515"/>
      <c r="N4" s="515"/>
      <c r="O4" s="515"/>
      <c r="P4" s="516"/>
      <c r="Q4" s="2"/>
      <c r="R4" s="514">
        <v>45536</v>
      </c>
      <c r="S4" s="515"/>
      <c r="T4" s="515"/>
      <c r="U4" s="515"/>
      <c r="V4" s="515"/>
      <c r="W4" s="515"/>
      <c r="X4" s="516"/>
      <c r="Y4" s="2"/>
      <c r="Z4" s="514">
        <v>45566</v>
      </c>
      <c r="AA4" s="515"/>
      <c r="AB4" s="515"/>
      <c r="AC4" s="515"/>
      <c r="AD4" s="515"/>
      <c r="AE4" s="515"/>
      <c r="AF4" s="516"/>
      <c r="AH4" s="514">
        <v>45597</v>
      </c>
      <c r="AI4" s="515"/>
      <c r="AJ4" s="515"/>
      <c r="AK4" s="515"/>
      <c r="AL4" s="515"/>
      <c r="AM4" s="515"/>
      <c r="AN4" s="516"/>
      <c r="AO4" s="2"/>
      <c r="AP4" s="514">
        <v>45627</v>
      </c>
      <c r="AQ4" s="515"/>
      <c r="AR4" s="515"/>
      <c r="AS4" s="515"/>
      <c r="AT4" s="515"/>
      <c r="AU4" s="515"/>
      <c r="AV4" s="516"/>
    </row>
    <row r="5" spans="2:48" ht="15.75" thickBot="1">
      <c r="B5" s="3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5" t="s">
        <v>5</v>
      </c>
      <c r="H5" s="6" t="s">
        <v>6</v>
      </c>
      <c r="I5" s="1"/>
      <c r="J5" s="7" t="s">
        <v>0</v>
      </c>
      <c r="K5" s="8" t="s">
        <v>1</v>
      </c>
      <c r="L5" s="8" t="s">
        <v>2</v>
      </c>
      <c r="M5" s="8" t="s">
        <v>3</v>
      </c>
      <c r="N5" s="8" t="s">
        <v>4</v>
      </c>
      <c r="O5" s="9" t="s">
        <v>5</v>
      </c>
      <c r="P5" s="10" t="s">
        <v>6</v>
      </c>
      <c r="Q5" s="1"/>
      <c r="R5" s="7" t="s">
        <v>0</v>
      </c>
      <c r="S5" s="8" t="s">
        <v>1</v>
      </c>
      <c r="T5" s="8" t="s">
        <v>2</v>
      </c>
      <c r="U5" s="8" t="s">
        <v>3</v>
      </c>
      <c r="V5" s="8" t="s">
        <v>4</v>
      </c>
      <c r="W5" s="9" t="s">
        <v>5</v>
      </c>
      <c r="X5" s="10" t="s">
        <v>6</v>
      </c>
      <c r="Y5" s="1"/>
      <c r="Z5" s="13" t="s">
        <v>0</v>
      </c>
      <c r="AA5" s="14" t="s">
        <v>1</v>
      </c>
      <c r="AB5" s="14" t="s">
        <v>2</v>
      </c>
      <c r="AC5" s="14" t="s">
        <v>3</v>
      </c>
      <c r="AD5" s="14" t="s">
        <v>4</v>
      </c>
      <c r="AE5" s="15" t="s">
        <v>5</v>
      </c>
      <c r="AF5" s="16" t="s">
        <v>6</v>
      </c>
      <c r="AH5" s="3" t="s">
        <v>0</v>
      </c>
      <c r="AI5" s="4" t="s">
        <v>1</v>
      </c>
      <c r="AJ5" s="4" t="s">
        <v>2</v>
      </c>
      <c r="AK5" s="4" t="s">
        <v>3</v>
      </c>
      <c r="AL5" s="4" t="s">
        <v>4</v>
      </c>
      <c r="AM5" s="5" t="s">
        <v>5</v>
      </c>
      <c r="AN5" s="6" t="s">
        <v>6</v>
      </c>
      <c r="AO5" s="1"/>
      <c r="AP5" s="3" t="s">
        <v>0</v>
      </c>
      <c r="AQ5" s="4" t="s">
        <v>1</v>
      </c>
      <c r="AR5" s="4" t="s">
        <v>2</v>
      </c>
      <c r="AS5" s="4" t="s">
        <v>3</v>
      </c>
      <c r="AT5" s="4" t="s">
        <v>4</v>
      </c>
      <c r="AU5" s="5" t="s">
        <v>5</v>
      </c>
      <c r="AV5" s="6" t="s">
        <v>6</v>
      </c>
    </row>
    <row r="6" spans="2:48" ht="15.75" thickTop="1">
      <c r="B6" s="69" t="str">
        <f t="array" ref="B6:H11">IF(MONTH(DATE(YEAR(B4),MONTH(B4),1))&lt;&gt;MONTH(DATE(YEAR(B4),MONTH(B4),1)-(WEEKDAY(DATE(YEAR(B4),MONTH(B4),1))-1)+{0;1;2;3;4;5}*7+{1,2,3,4,5,6,7}-1),"",DATE(YEAR(B4),MONTH(B4),1)-(WEEKDAY(DATE(YEAR(B4),MONTH(B4),1))-1)+{0;1;2;3;4;5}*7+{1,2,3,4,5,6,7}-1)</f>
        <v/>
      </c>
      <c r="C6" s="70">
        <v>45474</v>
      </c>
      <c r="D6" s="70">
        <v>45475</v>
      </c>
      <c r="E6" s="70">
        <v>45476</v>
      </c>
      <c r="F6" s="70">
        <v>45477</v>
      </c>
      <c r="G6" s="70">
        <v>45478</v>
      </c>
      <c r="H6" s="71">
        <v>45479</v>
      </c>
      <c r="I6" s="2"/>
      <c r="J6" s="80" t="str">
        <f t="array" ref="J6:P11">IF(MONTH(DATE(YEAR(J4),MONTH(J4),1))&lt;&gt;MONTH(DATE(YEAR(J4),MONTH(J4),1)-(WEEKDAY(DATE(YEAR(J4),MONTH(J4),1))-1)+{0;1;2;3;4;5}*7+{1,2,3,4,5,6,7}-1),"",DATE(YEAR(J4),MONTH(J4),1)-(WEEKDAY(DATE(YEAR(J4),MONTH(J4),1))-1)+{0;1;2;3;4;5}*7+{1,2,3,4,5,6,7}-1)</f>
        <v/>
      </c>
      <c r="K6" s="81" t="str">
        <v/>
      </c>
      <c r="L6" s="81" t="str">
        <v/>
      </c>
      <c r="M6" s="81" t="str">
        <v/>
      </c>
      <c r="N6" s="81">
        <v>45505</v>
      </c>
      <c r="O6" s="81">
        <v>45506</v>
      </c>
      <c r="P6" s="82">
        <v>45507</v>
      </c>
      <c r="Q6" s="2"/>
      <c r="R6" s="80">
        <f t="array" ref="R6:X11">IF(MONTH(DATE(YEAR(R4),MONTH(R4),1))&lt;&gt;MONTH(DATE(YEAR(R4),MONTH(R4),1)-(WEEKDAY(DATE(YEAR(R4),MONTH(R4),1))-1)+{0;1;2;3;4;5}*7+{1,2,3,4,5,6,7}-1),"",DATE(YEAR(R4),MONTH(R4),1)-(WEEKDAY(DATE(YEAR(R4),MONTH(R4),1))-1)+{0;1;2;3;4;5}*7+{1,2,3,4,5,6,7}-1)</f>
        <v>45536</v>
      </c>
      <c r="S6" s="70">
        <v>45537</v>
      </c>
      <c r="T6" s="70">
        <v>45538</v>
      </c>
      <c r="U6" s="70">
        <v>45539</v>
      </c>
      <c r="V6" s="70">
        <v>45540</v>
      </c>
      <c r="W6" s="70">
        <v>45541</v>
      </c>
      <c r="X6" s="71">
        <v>45542</v>
      </c>
      <c r="Y6" s="2"/>
      <c r="Z6" s="83" t="str">
        <f t="array" ref="Z6:AF11">IF(MONTH(DATE(YEAR(Z4),MONTH(Z4),1))&lt;&gt;MONTH(DATE(YEAR(Z4),MONTH(Z4),1)-(WEEKDAY(DATE(YEAR(Z4),MONTH(Z4),1))-1)+{0;1;2;3;4;5}*7+{1,2,3,4,5,6,7}-1),"",DATE(YEAR(Z4),MONTH(Z4),1)-(WEEKDAY(DATE(YEAR(Z4),MONTH(Z4),1))-1)+{0;1;2;3;4;5}*7+{1,2,3,4,5,6,7}-1)</f>
        <v/>
      </c>
      <c r="AA6" s="73" t="str">
        <v/>
      </c>
      <c r="AB6" s="73">
        <v>45566</v>
      </c>
      <c r="AC6" s="73">
        <v>45567</v>
      </c>
      <c r="AD6" s="73">
        <v>45568</v>
      </c>
      <c r="AE6" s="73">
        <v>45569</v>
      </c>
      <c r="AF6" s="74">
        <v>45570</v>
      </c>
      <c r="AH6" s="80" t="str">
        <f t="array" ref="AH6:AN11">IF(MONTH(DATE(YEAR(AH4),MONTH(AH4),1))&lt;&gt;MONTH(DATE(YEAR(AH4),MONTH(AH4),1)-(WEEKDAY(DATE(YEAR(AH4),MONTH(AH4),1))-1)+{0;1;2;3;4;5}*7+{1,2,3,4,5,6,7}-1),"",DATE(YEAR(AH4),MONTH(AH4),1)-(WEEKDAY(DATE(YEAR(AH4),MONTH(AH4),1))-1)+{0;1;2;3;4;5}*7+{1,2,3,4,5,6,7}-1)</f>
        <v/>
      </c>
      <c r="AI6" s="70" t="str">
        <v/>
      </c>
      <c r="AJ6" s="70" t="str">
        <v/>
      </c>
      <c r="AK6" s="70" t="str">
        <v/>
      </c>
      <c r="AL6" s="70" t="str">
        <v/>
      </c>
      <c r="AM6" s="70">
        <v>45597</v>
      </c>
      <c r="AN6" s="71">
        <v>45598</v>
      </c>
      <c r="AO6" s="2"/>
      <c r="AP6" s="80">
        <f t="array" ref="AP6:AV11">IF(MONTH(DATE(YEAR(AP4),MONTH(AP4),1))&lt;&gt;MONTH(DATE(YEAR(AP4),MONTH(AP4),1)-(WEEKDAY(DATE(YEAR(AP4),MONTH(AP4),1))-1)+{0;1;2;3;4;5}*7+{1,2,3,4,5,6,7}-1),"",DATE(YEAR(AP4),MONTH(AP4),1)-(WEEKDAY(DATE(YEAR(AP4),MONTH(AP4),1))-1)+{0;1;2;3;4;5}*7+{1,2,3,4,5,6,7}-1)</f>
        <v>45627</v>
      </c>
      <c r="AQ6" s="144">
        <v>45628</v>
      </c>
      <c r="AR6" s="144">
        <v>45629</v>
      </c>
      <c r="AS6" s="144">
        <v>45630</v>
      </c>
      <c r="AT6" s="144">
        <v>45631</v>
      </c>
      <c r="AU6" s="144">
        <v>45632</v>
      </c>
      <c r="AV6" s="144">
        <v>45633</v>
      </c>
    </row>
    <row r="7" spans="2:48">
      <c r="B7" s="72">
        <v>45480</v>
      </c>
      <c r="C7" s="73">
        <v>45481</v>
      </c>
      <c r="D7" s="73">
        <v>45482</v>
      </c>
      <c r="E7" s="73">
        <v>45483</v>
      </c>
      <c r="F7" s="73">
        <v>45484</v>
      </c>
      <c r="G7" s="73">
        <v>45485</v>
      </c>
      <c r="H7" s="74">
        <v>45486</v>
      </c>
      <c r="I7" s="2"/>
      <c r="J7" s="83">
        <v>45508</v>
      </c>
      <c r="K7" s="84">
        <v>45509</v>
      </c>
      <c r="L7" s="84">
        <v>45510</v>
      </c>
      <c r="M7" s="84">
        <v>45511</v>
      </c>
      <c r="N7" s="84">
        <v>45512</v>
      </c>
      <c r="O7" s="84">
        <v>45513</v>
      </c>
      <c r="P7" s="85">
        <v>45514</v>
      </c>
      <c r="Q7" s="2"/>
      <c r="R7" s="83">
        <v>45543</v>
      </c>
      <c r="S7" s="104">
        <v>45544</v>
      </c>
      <c r="T7" s="104">
        <v>45545</v>
      </c>
      <c r="U7" s="104">
        <v>45546</v>
      </c>
      <c r="V7" s="104">
        <v>45547</v>
      </c>
      <c r="W7" s="73">
        <v>45548</v>
      </c>
      <c r="X7" s="105">
        <v>45549</v>
      </c>
      <c r="Y7" s="2"/>
      <c r="Z7" s="83">
        <v>45571</v>
      </c>
      <c r="AA7" s="26">
        <v>45572</v>
      </c>
      <c r="AB7" s="26">
        <v>45573</v>
      </c>
      <c r="AC7" s="26">
        <v>45574</v>
      </c>
      <c r="AD7" s="26">
        <v>45575</v>
      </c>
      <c r="AE7" s="26">
        <v>45576</v>
      </c>
      <c r="AF7" s="26">
        <v>45577</v>
      </c>
      <c r="AH7" s="83">
        <v>45599</v>
      </c>
      <c r="AI7" s="104">
        <v>45600</v>
      </c>
      <c r="AJ7" s="104">
        <v>45601</v>
      </c>
      <c r="AK7" s="122">
        <v>45602</v>
      </c>
      <c r="AL7" s="122">
        <v>45603</v>
      </c>
      <c r="AM7" s="73">
        <v>45604</v>
      </c>
      <c r="AN7" s="74">
        <v>45605</v>
      </c>
      <c r="AO7" s="2"/>
      <c r="AP7" s="83">
        <v>45634</v>
      </c>
      <c r="AQ7" s="92">
        <v>45635</v>
      </c>
      <c r="AR7" s="92">
        <v>45636</v>
      </c>
      <c r="AS7" s="92">
        <v>45637</v>
      </c>
      <c r="AT7" s="92">
        <v>45638</v>
      </c>
      <c r="AU7" s="92">
        <v>45639</v>
      </c>
      <c r="AV7" s="92">
        <v>45640</v>
      </c>
    </row>
    <row r="8" spans="2:48">
      <c r="B8" s="72">
        <v>45487</v>
      </c>
      <c r="C8" s="23">
        <v>45488</v>
      </c>
      <c r="D8" s="75">
        <v>45489</v>
      </c>
      <c r="E8" s="75">
        <v>45490</v>
      </c>
      <c r="F8" s="75">
        <v>45491</v>
      </c>
      <c r="G8" s="75">
        <v>45492</v>
      </c>
      <c r="H8" s="76">
        <v>45493</v>
      </c>
      <c r="I8" s="2"/>
      <c r="J8" s="83">
        <v>45515</v>
      </c>
      <c r="K8" s="84">
        <v>45516</v>
      </c>
      <c r="L8" s="84">
        <v>45517</v>
      </c>
      <c r="M8" s="84">
        <v>45518</v>
      </c>
      <c r="N8" s="84">
        <v>45519</v>
      </c>
      <c r="O8" s="84">
        <v>45520</v>
      </c>
      <c r="P8" s="86">
        <v>45521</v>
      </c>
      <c r="Q8" s="2"/>
      <c r="R8" s="83">
        <v>45550</v>
      </c>
      <c r="S8" s="91">
        <v>45551</v>
      </c>
      <c r="T8" s="73">
        <v>45552</v>
      </c>
      <c r="U8" s="104">
        <v>45553</v>
      </c>
      <c r="V8" s="73">
        <v>45554</v>
      </c>
      <c r="W8" s="73">
        <v>45555</v>
      </c>
      <c r="X8" s="65">
        <v>45556</v>
      </c>
      <c r="Y8" s="2"/>
      <c r="Z8" s="83">
        <v>45578</v>
      </c>
      <c r="AA8" s="90">
        <v>45579</v>
      </c>
      <c r="AB8" s="90">
        <v>45580</v>
      </c>
      <c r="AC8" s="90">
        <v>45581</v>
      </c>
      <c r="AD8" s="90">
        <v>45582</v>
      </c>
      <c r="AE8" s="90">
        <v>45583</v>
      </c>
      <c r="AF8" s="105">
        <v>45584</v>
      </c>
      <c r="AH8" s="83">
        <v>45606</v>
      </c>
      <c r="AI8" s="73">
        <v>45607</v>
      </c>
      <c r="AJ8" s="73">
        <v>45608</v>
      </c>
      <c r="AK8" s="73">
        <v>45609</v>
      </c>
      <c r="AL8" s="73">
        <v>45610</v>
      </c>
      <c r="AM8" s="111">
        <v>45611</v>
      </c>
      <c r="AN8" s="105">
        <v>45612</v>
      </c>
      <c r="AO8" s="2"/>
      <c r="AP8" s="83">
        <v>45641</v>
      </c>
      <c r="AQ8" s="31">
        <v>45642</v>
      </c>
      <c r="AR8" s="31">
        <v>45643</v>
      </c>
      <c r="AS8" s="113">
        <v>45644</v>
      </c>
      <c r="AT8" s="31">
        <v>45645</v>
      </c>
      <c r="AU8" s="31">
        <v>45646</v>
      </c>
      <c r="AV8" s="93">
        <v>45647</v>
      </c>
    </row>
    <row r="9" spans="2:48">
      <c r="B9" s="72">
        <v>45494</v>
      </c>
      <c r="C9" s="73">
        <v>45495</v>
      </c>
      <c r="D9" s="73">
        <v>45496</v>
      </c>
      <c r="E9" s="73">
        <v>45497</v>
      </c>
      <c r="F9" s="73">
        <v>45498</v>
      </c>
      <c r="G9" s="73">
        <v>45499</v>
      </c>
      <c r="H9" s="74">
        <v>45500</v>
      </c>
      <c r="I9" s="2"/>
      <c r="J9" s="83">
        <v>45522</v>
      </c>
      <c r="K9" s="103">
        <v>45523</v>
      </c>
      <c r="L9" s="103">
        <v>45524</v>
      </c>
      <c r="M9" s="103">
        <v>45525</v>
      </c>
      <c r="N9" s="103">
        <v>45526</v>
      </c>
      <c r="O9" s="84">
        <v>45527</v>
      </c>
      <c r="P9" s="85">
        <v>45528</v>
      </c>
      <c r="Q9" s="2"/>
      <c r="R9" s="83">
        <v>45557</v>
      </c>
      <c r="S9" s="73">
        <v>45558</v>
      </c>
      <c r="T9" s="73">
        <v>45559</v>
      </c>
      <c r="U9" s="73">
        <v>45560</v>
      </c>
      <c r="V9" s="73">
        <v>45561</v>
      </c>
      <c r="W9" s="73">
        <v>45562</v>
      </c>
      <c r="X9" s="61">
        <v>45563</v>
      </c>
      <c r="Y9" s="2"/>
      <c r="Z9" s="62">
        <v>45585</v>
      </c>
      <c r="AA9" s="62">
        <v>45586</v>
      </c>
      <c r="AB9" s="73">
        <v>45587</v>
      </c>
      <c r="AC9" s="73">
        <v>45588</v>
      </c>
      <c r="AD9" s="73">
        <v>45589</v>
      </c>
      <c r="AE9" s="73">
        <v>45590</v>
      </c>
      <c r="AF9" s="74">
        <v>45591</v>
      </c>
      <c r="AH9" s="112">
        <v>45613</v>
      </c>
      <c r="AI9" s="104">
        <v>45614</v>
      </c>
      <c r="AJ9" s="104">
        <v>45615</v>
      </c>
      <c r="AK9" s="104">
        <v>45616</v>
      </c>
      <c r="AL9" s="104">
        <v>45617</v>
      </c>
      <c r="AM9" s="104">
        <v>45618</v>
      </c>
      <c r="AN9" s="62">
        <v>45619</v>
      </c>
      <c r="AO9" s="2"/>
      <c r="AP9" s="83">
        <v>45648</v>
      </c>
      <c r="AQ9" s="11">
        <v>45649</v>
      </c>
      <c r="AR9" s="11">
        <v>45650</v>
      </c>
      <c r="AS9" s="11">
        <v>45651</v>
      </c>
      <c r="AT9" s="11">
        <v>45652</v>
      </c>
      <c r="AU9" s="11">
        <v>45653</v>
      </c>
      <c r="AV9" s="11">
        <v>45654</v>
      </c>
    </row>
    <row r="10" spans="2:48">
      <c r="B10" s="72">
        <v>45501</v>
      </c>
      <c r="C10" s="73">
        <v>45502</v>
      </c>
      <c r="D10" s="73">
        <v>45503</v>
      </c>
      <c r="E10" s="73">
        <v>45504</v>
      </c>
      <c r="F10" s="73" t="str">
        <v/>
      </c>
      <c r="G10" s="73" t="str">
        <v/>
      </c>
      <c r="H10" s="74" t="str">
        <v/>
      </c>
      <c r="I10" s="2"/>
      <c r="J10" s="83">
        <v>45529</v>
      </c>
      <c r="K10" s="84">
        <v>45530</v>
      </c>
      <c r="L10" s="84">
        <v>45531</v>
      </c>
      <c r="M10" s="84">
        <v>45532</v>
      </c>
      <c r="N10" s="84">
        <v>45533</v>
      </c>
      <c r="O10" s="84">
        <v>45534</v>
      </c>
      <c r="P10" s="61">
        <v>45535</v>
      </c>
      <c r="Q10" s="2"/>
      <c r="R10" s="83">
        <v>45564</v>
      </c>
      <c r="S10" s="73">
        <v>45565</v>
      </c>
      <c r="T10" s="73" t="str">
        <v/>
      </c>
      <c r="U10" s="73" t="str">
        <v/>
      </c>
      <c r="V10" s="73" t="str">
        <v/>
      </c>
      <c r="W10" s="73" t="str">
        <v/>
      </c>
      <c r="X10" s="74" t="str">
        <v/>
      </c>
      <c r="Y10" s="2"/>
      <c r="Z10" s="83">
        <v>45592</v>
      </c>
      <c r="AA10" s="104">
        <v>45593</v>
      </c>
      <c r="AB10" s="104">
        <v>45594</v>
      </c>
      <c r="AC10" s="104">
        <v>45595</v>
      </c>
      <c r="AD10" s="61">
        <v>45596</v>
      </c>
      <c r="AE10" s="73" t="str">
        <v/>
      </c>
      <c r="AF10" s="74" t="str">
        <v/>
      </c>
      <c r="AH10" s="83">
        <v>45620</v>
      </c>
      <c r="AI10" s="62">
        <v>45621</v>
      </c>
      <c r="AJ10" s="104">
        <v>45622</v>
      </c>
      <c r="AK10" s="104">
        <v>45623</v>
      </c>
      <c r="AL10" s="104">
        <v>45624</v>
      </c>
      <c r="AM10" s="104">
        <v>45625</v>
      </c>
      <c r="AN10" s="61">
        <v>45626</v>
      </c>
      <c r="AO10" s="2"/>
      <c r="AP10" s="83">
        <v>45655</v>
      </c>
      <c r="AQ10" s="11">
        <v>45656</v>
      </c>
      <c r="AR10" s="11">
        <v>45657</v>
      </c>
      <c r="AS10" s="84" t="str">
        <v/>
      </c>
      <c r="AT10" s="84" t="str">
        <v/>
      </c>
      <c r="AU10" s="84" t="str">
        <v/>
      </c>
      <c r="AV10" s="85" t="str">
        <v/>
      </c>
    </row>
    <row r="11" spans="2:48" ht="15.75" thickBot="1">
      <c r="B11" s="77" t="str">
        <v/>
      </c>
      <c r="C11" s="78" t="str">
        <v/>
      </c>
      <c r="D11" s="78" t="str">
        <v/>
      </c>
      <c r="E11" s="78" t="str">
        <v/>
      </c>
      <c r="F11" s="78" t="str">
        <v/>
      </c>
      <c r="G11" s="78" t="str">
        <v/>
      </c>
      <c r="H11" s="79" t="str">
        <v/>
      </c>
      <c r="I11" s="2"/>
      <c r="J11" s="87" t="str">
        <v/>
      </c>
      <c r="K11" s="88" t="str">
        <v/>
      </c>
      <c r="L11" s="88" t="str">
        <v/>
      </c>
      <c r="M11" s="88" t="str">
        <v/>
      </c>
      <c r="N11" s="88" t="str">
        <v/>
      </c>
      <c r="O11" s="88" t="str">
        <v/>
      </c>
      <c r="P11" s="89" t="str">
        <v/>
      </c>
      <c r="Q11" s="2"/>
      <c r="R11" s="87" t="str">
        <v/>
      </c>
      <c r="S11" s="78" t="str">
        <v/>
      </c>
      <c r="T11" s="78" t="str">
        <v/>
      </c>
      <c r="U11" s="78" t="str">
        <v/>
      </c>
      <c r="V11" s="78" t="str">
        <v/>
      </c>
      <c r="W11" s="78" t="str">
        <v/>
      </c>
      <c r="X11" s="79" t="str">
        <v/>
      </c>
      <c r="Y11" s="2"/>
      <c r="Z11" s="83" t="str">
        <v/>
      </c>
      <c r="AA11" s="73" t="str">
        <v/>
      </c>
      <c r="AB11" s="73" t="str">
        <v/>
      </c>
      <c r="AC11" s="73" t="str">
        <v/>
      </c>
      <c r="AD11" s="73" t="str">
        <v/>
      </c>
      <c r="AE11" s="73" t="str">
        <v/>
      </c>
      <c r="AF11" s="74" t="str">
        <v/>
      </c>
      <c r="AH11" s="87" t="str">
        <v/>
      </c>
      <c r="AI11" s="78" t="str">
        <v/>
      </c>
      <c r="AJ11" s="78" t="str">
        <v/>
      </c>
      <c r="AK11" s="78" t="str">
        <v/>
      </c>
      <c r="AL11" s="78" t="str">
        <v/>
      </c>
      <c r="AM11" s="78" t="str">
        <v/>
      </c>
      <c r="AN11" s="79" t="str">
        <v/>
      </c>
      <c r="AO11" s="2"/>
      <c r="AP11" s="87" t="str">
        <v/>
      </c>
      <c r="AQ11" s="88" t="str">
        <v/>
      </c>
      <c r="AR11" s="88" t="str">
        <v/>
      </c>
      <c r="AS11" s="88" t="str">
        <v/>
      </c>
      <c r="AT11" s="88" t="str">
        <v/>
      </c>
      <c r="AU11" s="88" t="str">
        <v/>
      </c>
      <c r="AV11" s="89" t="str">
        <v/>
      </c>
    </row>
    <row r="12" spans="2:48" ht="15.75" thickBot="1">
      <c r="B12" s="517" t="s">
        <v>7</v>
      </c>
      <c r="C12" s="518"/>
      <c r="D12" s="518" t="s">
        <v>137</v>
      </c>
      <c r="E12" s="518"/>
      <c r="F12" s="518"/>
      <c r="G12" s="518" t="s">
        <v>138</v>
      </c>
      <c r="H12" s="519"/>
      <c r="I12" s="1"/>
      <c r="J12" s="520" t="s">
        <v>7</v>
      </c>
      <c r="K12" s="521"/>
      <c r="L12" s="522" t="s">
        <v>139</v>
      </c>
      <c r="M12" s="523"/>
      <c r="N12" s="521"/>
      <c r="O12" s="522" t="s">
        <v>8</v>
      </c>
      <c r="P12" s="524"/>
      <c r="Q12" s="1"/>
      <c r="R12" s="517" t="s">
        <v>9</v>
      </c>
      <c r="S12" s="518"/>
      <c r="T12" s="518" t="s">
        <v>140</v>
      </c>
      <c r="U12" s="518"/>
      <c r="V12" s="518"/>
      <c r="W12" s="518" t="s">
        <v>10</v>
      </c>
      <c r="X12" s="519"/>
      <c r="Y12" s="1"/>
      <c r="Z12" s="517" t="s">
        <v>7</v>
      </c>
      <c r="AA12" s="518"/>
      <c r="AB12" s="518" t="s">
        <v>141</v>
      </c>
      <c r="AC12" s="518"/>
      <c r="AD12" s="518"/>
      <c r="AE12" s="518" t="s">
        <v>142</v>
      </c>
      <c r="AF12" s="519"/>
      <c r="AH12" s="517" t="s">
        <v>9</v>
      </c>
      <c r="AI12" s="518"/>
      <c r="AJ12" s="518" t="s">
        <v>141</v>
      </c>
      <c r="AK12" s="518"/>
      <c r="AL12" s="518"/>
      <c r="AM12" s="518" t="s">
        <v>8</v>
      </c>
      <c r="AN12" s="519"/>
      <c r="AO12" s="1"/>
      <c r="AP12" s="517" t="s">
        <v>7</v>
      </c>
      <c r="AQ12" s="518"/>
      <c r="AR12" s="518" t="s">
        <v>143</v>
      </c>
      <c r="AS12" s="518"/>
      <c r="AT12" s="518"/>
      <c r="AU12" s="518" t="s">
        <v>14</v>
      </c>
      <c r="AV12" s="519"/>
    </row>
    <row r="13" spans="2:48">
      <c r="AP13" s="31">
        <v>19</v>
      </c>
      <c r="AQ13" t="s">
        <v>229</v>
      </c>
    </row>
    <row r="14" spans="2:48">
      <c r="B14" s="23">
        <v>15</v>
      </c>
      <c r="C14" s="22" t="s">
        <v>15</v>
      </c>
      <c r="J14" s="28">
        <v>17</v>
      </c>
      <c r="K14" s="12" t="s">
        <v>153</v>
      </c>
      <c r="L14" s="30"/>
      <c r="M14" s="30"/>
      <c r="N14" s="30"/>
      <c r="R14" s="25">
        <v>16</v>
      </c>
      <c r="S14" s="12" t="s">
        <v>11</v>
      </c>
      <c r="T14" s="30"/>
      <c r="U14" s="30"/>
      <c r="V14" s="30"/>
      <c r="W14" s="30"/>
      <c r="Z14" s="26" t="s">
        <v>175</v>
      </c>
      <c r="AA14" s="27" t="s">
        <v>26</v>
      </c>
      <c r="AH14" s="122" t="s">
        <v>230</v>
      </c>
      <c r="AI14" t="s">
        <v>17</v>
      </c>
      <c r="AP14" s="107" t="s">
        <v>231</v>
      </c>
      <c r="AQ14" t="s">
        <v>28</v>
      </c>
    </row>
    <row r="15" spans="2:48">
      <c r="B15" s="24" t="s">
        <v>151</v>
      </c>
      <c r="C15" s="22" t="s">
        <v>16</v>
      </c>
      <c r="K15" s="30" t="s">
        <v>228</v>
      </c>
      <c r="L15" s="30"/>
      <c r="M15" s="30"/>
      <c r="N15" s="30"/>
      <c r="R15" s="105">
        <v>14</v>
      </c>
      <c r="S15" s="30" t="s">
        <v>152</v>
      </c>
      <c r="T15" s="30"/>
      <c r="U15" s="30"/>
      <c r="V15" s="30"/>
      <c r="W15" s="30"/>
      <c r="Z15" s="90" t="s">
        <v>154</v>
      </c>
      <c r="AA15" s="27" t="s">
        <v>21</v>
      </c>
      <c r="AH15" s="105">
        <v>16</v>
      </c>
      <c r="AI15" s="30" t="s">
        <v>152</v>
      </c>
      <c r="AP15" s="145" t="s">
        <v>232</v>
      </c>
      <c r="AQ15" t="s">
        <v>23</v>
      </c>
    </row>
    <row r="16" spans="2:48">
      <c r="B16" s="102"/>
      <c r="C16" s="12"/>
      <c r="J16" s="61">
        <v>31</v>
      </c>
      <c r="K16" s="30" t="s">
        <v>109</v>
      </c>
      <c r="L16" s="30"/>
      <c r="M16" s="30"/>
      <c r="N16" s="30"/>
      <c r="R16" s="65">
        <v>21</v>
      </c>
      <c r="S16" s="30" t="s">
        <v>113</v>
      </c>
      <c r="T16" s="30"/>
      <c r="U16" s="30"/>
      <c r="V16" s="30"/>
      <c r="W16" s="30"/>
      <c r="Z16" s="62">
        <v>20</v>
      </c>
      <c r="AA16" s="64" t="s">
        <v>111</v>
      </c>
      <c r="AH16" s="110" t="s">
        <v>151</v>
      </c>
      <c r="AI16" s="64" t="s">
        <v>19</v>
      </c>
      <c r="AP16" s="93" t="s">
        <v>156</v>
      </c>
      <c r="AQ16" t="s">
        <v>20</v>
      </c>
    </row>
    <row r="17" spans="2:48">
      <c r="K17" s="30"/>
      <c r="L17" s="30"/>
      <c r="M17" s="30"/>
      <c r="N17" s="30"/>
      <c r="R17" s="61">
        <v>28</v>
      </c>
      <c r="S17" s="30" t="s">
        <v>109</v>
      </c>
      <c r="T17" s="30"/>
      <c r="U17" s="30"/>
      <c r="V17" s="30"/>
      <c r="W17" s="30"/>
      <c r="Z17" s="62">
        <v>21</v>
      </c>
      <c r="AA17" s="63" t="s">
        <v>110</v>
      </c>
      <c r="AH17" s="140">
        <v>30</v>
      </c>
      <c r="AI17" s="30" t="s">
        <v>109</v>
      </c>
      <c r="AP17" s="113">
        <v>18</v>
      </c>
      <c r="AQ17" t="s">
        <v>159</v>
      </c>
    </row>
    <row r="18" spans="2:48">
      <c r="R18" s="106"/>
      <c r="Z18" s="61">
        <v>31</v>
      </c>
      <c r="AA18" s="30" t="s">
        <v>109</v>
      </c>
      <c r="AP18" s="141" t="s">
        <v>158</v>
      </c>
      <c r="AQ18" t="s">
        <v>22</v>
      </c>
    </row>
    <row r="19" spans="2:48" ht="15.75" thickBot="1">
      <c r="AP19" s="142" t="s">
        <v>188</v>
      </c>
      <c r="AQ19" s="143"/>
    </row>
    <row r="20" spans="2:48">
      <c r="B20" s="514">
        <v>45658</v>
      </c>
      <c r="C20" s="515"/>
      <c r="D20" s="515"/>
      <c r="E20" s="515"/>
      <c r="F20" s="515"/>
      <c r="G20" s="515"/>
      <c r="H20" s="516"/>
      <c r="I20" s="2"/>
      <c r="J20" s="514">
        <v>45689</v>
      </c>
      <c r="K20" s="515"/>
      <c r="L20" s="515"/>
      <c r="M20" s="515"/>
      <c r="N20" s="515"/>
      <c r="O20" s="515"/>
      <c r="P20" s="516"/>
      <c r="R20" s="514">
        <v>45717</v>
      </c>
      <c r="S20" s="515"/>
      <c r="T20" s="515"/>
      <c r="U20" s="515"/>
      <c r="V20" s="515"/>
      <c r="W20" s="515"/>
      <c r="X20" s="516"/>
      <c r="Y20" s="2"/>
      <c r="Z20" s="514">
        <v>45748</v>
      </c>
      <c r="AA20" s="515"/>
      <c r="AB20" s="515"/>
      <c r="AC20" s="515"/>
      <c r="AD20" s="515"/>
      <c r="AE20" s="515"/>
      <c r="AF20" s="516"/>
      <c r="AG20" s="2"/>
      <c r="AH20" s="514">
        <v>45778</v>
      </c>
      <c r="AI20" s="515"/>
      <c r="AJ20" s="515"/>
      <c r="AK20" s="515"/>
      <c r="AL20" s="515"/>
      <c r="AM20" s="515"/>
      <c r="AN20" s="516"/>
      <c r="AO20" s="2"/>
      <c r="AP20" s="526">
        <v>45809</v>
      </c>
      <c r="AQ20" s="527"/>
      <c r="AR20" s="515"/>
      <c r="AS20" s="515"/>
      <c r="AT20" s="515"/>
      <c r="AU20" s="515"/>
      <c r="AV20" s="516"/>
    </row>
    <row r="21" spans="2:48" ht="15.75" thickBot="1">
      <c r="B21" s="3" t="s">
        <v>0</v>
      </c>
      <c r="C21" s="4" t="s">
        <v>1</v>
      </c>
      <c r="D21" s="4" t="s">
        <v>2</v>
      </c>
      <c r="E21" s="4" t="s">
        <v>3</v>
      </c>
      <c r="F21" s="4" t="s">
        <v>4</v>
      </c>
      <c r="G21" s="5" t="s">
        <v>5</v>
      </c>
      <c r="H21" s="6" t="s">
        <v>6</v>
      </c>
      <c r="I21" s="1"/>
      <c r="J21" s="3" t="s">
        <v>0</v>
      </c>
      <c r="K21" s="4" t="s">
        <v>1</v>
      </c>
      <c r="L21" s="4" t="s">
        <v>2</v>
      </c>
      <c r="M21" s="4" t="s">
        <v>3</v>
      </c>
      <c r="N21" s="4" t="s">
        <v>4</v>
      </c>
      <c r="O21" s="5" t="s">
        <v>5</v>
      </c>
      <c r="P21" s="6" t="s">
        <v>6</v>
      </c>
      <c r="R21" s="17" t="s">
        <v>0</v>
      </c>
      <c r="S21" s="18" t="s">
        <v>1</v>
      </c>
      <c r="T21" s="18" t="s">
        <v>2</v>
      </c>
      <c r="U21" s="18" t="s">
        <v>3</v>
      </c>
      <c r="V21" s="18" t="s">
        <v>4</v>
      </c>
      <c r="W21" s="19" t="s">
        <v>5</v>
      </c>
      <c r="X21" s="20" t="s">
        <v>6</v>
      </c>
      <c r="Y21" s="1"/>
      <c r="Z21" s="3" t="s">
        <v>0</v>
      </c>
      <c r="AA21" s="4" t="s">
        <v>1</v>
      </c>
      <c r="AB21" s="4" t="s">
        <v>2</v>
      </c>
      <c r="AC21" s="4" t="s">
        <v>3</v>
      </c>
      <c r="AD21" s="4" t="s">
        <v>4</v>
      </c>
      <c r="AE21" s="5" t="s">
        <v>5</v>
      </c>
      <c r="AF21" s="6" t="s">
        <v>6</v>
      </c>
      <c r="AG21" s="1"/>
      <c r="AH21" s="7" t="s">
        <v>0</v>
      </c>
      <c r="AI21" s="8" t="s">
        <v>1</v>
      </c>
      <c r="AJ21" s="8" t="s">
        <v>2</v>
      </c>
      <c r="AK21" s="8" t="s">
        <v>3</v>
      </c>
      <c r="AL21" s="8" t="s">
        <v>4</v>
      </c>
      <c r="AM21" s="9" t="s">
        <v>5</v>
      </c>
      <c r="AN21" s="10" t="s">
        <v>6</v>
      </c>
      <c r="AO21" s="1"/>
      <c r="AP21" s="7" t="s">
        <v>0</v>
      </c>
      <c r="AQ21" s="8" t="s">
        <v>1</v>
      </c>
      <c r="AR21" s="8" t="s">
        <v>2</v>
      </c>
      <c r="AS21" s="8" t="s">
        <v>3</v>
      </c>
      <c r="AT21" s="8" t="s">
        <v>4</v>
      </c>
      <c r="AU21" s="9" t="s">
        <v>5</v>
      </c>
      <c r="AV21" s="10" t="s">
        <v>6</v>
      </c>
    </row>
    <row r="22" spans="2:48" ht="15.75" thickTop="1">
      <c r="B22" s="94" t="str">
        <f t="array" ref="B22:H27">IF(MONTH(DATE(YEAR(B20),MONTH(B20),1))&lt;&gt;MONTH(DATE(YEAR(B20),MONTH(B20),1)-(WEEKDAY(DATE(YEAR(B20),MONTH(B20),1))-1)+{0;1;2;3;4;5}*7+{1,2,3,4,5,6,7}-1),"",DATE(YEAR(B20),MONTH(B20),1)-(WEEKDAY(DATE(YEAR(B20),MONTH(B20),1))-1)+{0;1;2;3;4;5}*7+{1,2,3,4,5,6,7}-1)</f>
        <v/>
      </c>
      <c r="C22" s="70" t="str">
        <v/>
      </c>
      <c r="D22" s="70" t="str">
        <v/>
      </c>
      <c r="E22" s="95">
        <v>45658</v>
      </c>
      <c r="F22" s="96">
        <v>45659</v>
      </c>
      <c r="G22" s="114">
        <v>45660</v>
      </c>
      <c r="H22" s="71">
        <v>45661</v>
      </c>
      <c r="I22" s="2"/>
      <c r="J22" s="80" t="str">
        <f t="array" ref="J22:P27">IF(MONTH(DATE(YEAR(J20),MONTH(J20),1))&lt;&gt;MONTH(DATE(YEAR(J20),MONTH(J20),1)-(WEEKDAY(DATE(YEAR(J20),MONTH(J20),1))-1)+{0;1;2;3;4;5}*7+{1,2,3,4,5,6,7}-1),"",DATE(YEAR(J20),MONTH(J20),1)-(WEEKDAY(DATE(YEAR(J20),MONTH(J20),1))-1)+{0;1;2;3;4;5}*7+{1,2,3,4,5,6,7}-1)</f>
        <v/>
      </c>
      <c r="K22" s="70" t="str">
        <v/>
      </c>
      <c r="L22" s="70" t="str">
        <v/>
      </c>
      <c r="M22" s="70" t="str">
        <v/>
      </c>
      <c r="N22" s="70" t="str">
        <v/>
      </c>
      <c r="O22" s="70" t="str">
        <v/>
      </c>
      <c r="P22" s="71">
        <v>45689</v>
      </c>
      <c r="R22" s="98" t="str">
        <f t="array" ref="R22:X27">IF(MONTH(DATE(YEAR(R20),MONTH(R20),1))&lt;&gt;MONTH(DATE(YEAR(R20),MONTH(R20),1)-(WEEKDAY(DATE(YEAR(R20),MONTH(R20),1))-1)+{0;1;2;3;4;5}*7+{1,2,3,4,5,6,7}-1),"",DATE(YEAR(R20),MONTH(R20),1)-(WEEKDAY(DATE(YEAR(R20),MONTH(R20),1))-1)+{0;1;2;3;4;5}*7+{1,2,3,4,5,6,7}-1)</f>
        <v/>
      </c>
      <c r="S22" s="73" t="str">
        <v/>
      </c>
      <c r="T22" s="73" t="str">
        <v/>
      </c>
      <c r="U22" s="73" t="str">
        <v/>
      </c>
      <c r="V22" s="73" t="str">
        <v/>
      </c>
      <c r="W22" s="73" t="str">
        <v/>
      </c>
      <c r="X22" s="97">
        <v>45717</v>
      </c>
      <c r="Y22" s="2"/>
      <c r="Z22" s="80" t="str">
        <f t="array" ref="Z22:AF27">IF(MONTH(DATE(YEAR(Z20),MONTH(Z20),1))&lt;&gt;MONTH(DATE(YEAR(Z20),MONTH(Z20),1)-(WEEKDAY(DATE(YEAR(Z20),MONTH(Z20),1))-1)+{0;1;2;3;4;5}*7+{1,2,3,4,5,6,7}-1),"",DATE(YEAR(Z20),MONTH(Z20),1)-(WEEKDAY(DATE(YEAR(Z20),MONTH(Z20),1))-1)+{0;1;2;3;4;5}*7+{1,2,3,4,5,6,7}-1)</f>
        <v/>
      </c>
      <c r="AA22" s="81" t="str">
        <v/>
      </c>
      <c r="AB22" s="95">
        <v>45748</v>
      </c>
      <c r="AC22" s="95">
        <v>45749</v>
      </c>
      <c r="AD22" s="95">
        <v>45750</v>
      </c>
      <c r="AE22" s="95">
        <v>45751</v>
      </c>
      <c r="AF22" s="95">
        <v>45752</v>
      </c>
      <c r="AG22" s="2"/>
      <c r="AH22" s="80" t="str">
        <f t="array" ref="AH22:AN27">IF(MONTH(DATE(YEAR(AH20),MONTH(AH20),1))&lt;&gt;MONTH(DATE(YEAR(AH20),MONTH(AH20),1)-(WEEKDAY(DATE(YEAR(AH20),MONTH(AH20),1))-1)+{0;1;2;3;4;5}*7+{1,2,3,4,5,6,7}-1),"",DATE(YEAR(AH20),MONTH(AH20),1)-(WEEKDAY(DATE(YEAR(AH20),MONTH(AH20),1))-1)+{0;1;2;3;4;5}*7+{1,2,3,4,5,6,7}-1)</f>
        <v/>
      </c>
      <c r="AI22" s="70" t="str">
        <v/>
      </c>
      <c r="AJ22" s="70" t="str">
        <v/>
      </c>
      <c r="AK22" s="70" t="str">
        <v/>
      </c>
      <c r="AL22" s="114">
        <v>45778</v>
      </c>
      <c r="AM22" s="70">
        <v>45779</v>
      </c>
      <c r="AN22" s="70">
        <v>45780</v>
      </c>
      <c r="AO22" s="2"/>
      <c r="AP22" s="100">
        <f t="array" ref="AP22:AV27">IF(MONTH(DATE(YEAR(AP20),MONTH(AP20),1))&lt;&gt;MONTH(DATE(YEAR(AP20),MONTH(AP20),1)-(WEEKDAY(DATE(YEAR(AP20),MONTH(AP20),1))-1)+{0;1;2;3;4;5}*7+{1,2,3,4,5,6,7}-1),"",DATE(YEAR(AP20),MONTH(AP20),1)-(WEEKDAY(DATE(YEAR(AP20),MONTH(AP20),1))-1)+{0;1;2;3;4;5}*7+{1,2,3,4,5,6,7}-1)</f>
        <v>45809</v>
      </c>
      <c r="AQ22" s="101">
        <v>45810</v>
      </c>
      <c r="AR22" s="101">
        <v>45811</v>
      </c>
      <c r="AS22" s="101">
        <v>45812</v>
      </c>
      <c r="AT22" s="101">
        <v>45813</v>
      </c>
      <c r="AU22" s="101">
        <v>45814</v>
      </c>
      <c r="AV22" s="101">
        <v>45815</v>
      </c>
    </row>
    <row r="23" spans="2:48">
      <c r="B23" s="83">
        <v>45662</v>
      </c>
      <c r="C23" s="73">
        <v>45663</v>
      </c>
      <c r="D23" s="73">
        <v>45664</v>
      </c>
      <c r="E23" s="73">
        <v>45665</v>
      </c>
      <c r="F23" s="73">
        <v>45666</v>
      </c>
      <c r="G23" s="73">
        <v>45667</v>
      </c>
      <c r="H23" s="74">
        <v>45668</v>
      </c>
      <c r="I23" s="2"/>
      <c r="J23" s="83">
        <v>45690</v>
      </c>
      <c r="K23" s="26">
        <v>45691</v>
      </c>
      <c r="L23" s="26">
        <v>45692</v>
      </c>
      <c r="M23" s="26">
        <v>45693</v>
      </c>
      <c r="N23" s="26">
        <v>45694</v>
      </c>
      <c r="O23" s="26">
        <v>45695</v>
      </c>
      <c r="P23" s="26">
        <v>45696</v>
      </c>
      <c r="R23" s="98">
        <v>45718</v>
      </c>
      <c r="S23" s="73">
        <v>45719</v>
      </c>
      <c r="T23" s="73">
        <v>45720</v>
      </c>
      <c r="U23" s="73">
        <v>45721</v>
      </c>
      <c r="V23" s="73">
        <v>45722</v>
      </c>
      <c r="W23" s="73">
        <v>45723</v>
      </c>
      <c r="X23" s="73">
        <v>45724</v>
      </c>
      <c r="Y23" s="2"/>
      <c r="Z23" s="83">
        <v>45753</v>
      </c>
      <c r="AA23" s="84">
        <v>45754</v>
      </c>
      <c r="AB23" s="84">
        <v>45755</v>
      </c>
      <c r="AC23" s="84">
        <v>45756</v>
      </c>
      <c r="AD23" s="84">
        <v>45757</v>
      </c>
      <c r="AE23" s="84">
        <v>45758</v>
      </c>
      <c r="AF23" s="85">
        <v>45759</v>
      </c>
      <c r="AG23" s="2"/>
      <c r="AH23" s="83">
        <v>45781</v>
      </c>
      <c r="AI23" s="26">
        <v>45782</v>
      </c>
      <c r="AJ23" s="26">
        <v>45783</v>
      </c>
      <c r="AK23" s="26">
        <v>45784</v>
      </c>
      <c r="AL23" s="26">
        <v>45785</v>
      </c>
      <c r="AM23" s="26">
        <v>45786</v>
      </c>
      <c r="AN23" s="26">
        <v>45787</v>
      </c>
      <c r="AO23" s="2"/>
      <c r="AP23" s="83">
        <v>45816</v>
      </c>
      <c r="AQ23" s="121">
        <v>45817</v>
      </c>
      <c r="AR23" s="121">
        <v>45818</v>
      </c>
      <c r="AS23" s="121">
        <v>45819</v>
      </c>
      <c r="AT23" s="121">
        <v>45820</v>
      </c>
      <c r="AU23" s="121">
        <v>45821</v>
      </c>
      <c r="AV23" s="29">
        <v>45822</v>
      </c>
    </row>
    <row r="24" spans="2:48">
      <c r="B24" s="83">
        <v>45669</v>
      </c>
      <c r="C24" s="73">
        <v>45670</v>
      </c>
      <c r="D24" s="73">
        <v>45671</v>
      </c>
      <c r="E24" s="73">
        <v>45672</v>
      </c>
      <c r="F24" s="73">
        <v>45673</v>
      </c>
      <c r="G24" s="73">
        <v>45674</v>
      </c>
      <c r="H24" s="105">
        <v>45675</v>
      </c>
      <c r="I24" s="2"/>
      <c r="J24" s="83">
        <v>45697</v>
      </c>
      <c r="K24" s="26">
        <v>45698</v>
      </c>
      <c r="L24" s="26">
        <v>45699</v>
      </c>
      <c r="M24" s="26">
        <v>45700</v>
      </c>
      <c r="N24" s="26">
        <v>45701</v>
      </c>
      <c r="O24" s="26">
        <v>45702</v>
      </c>
      <c r="P24" s="105">
        <v>45703</v>
      </c>
      <c r="R24" s="98">
        <v>45725</v>
      </c>
      <c r="S24" s="73">
        <v>45726</v>
      </c>
      <c r="T24" s="73">
        <v>45727</v>
      </c>
      <c r="U24" s="73">
        <v>45728</v>
      </c>
      <c r="V24" s="73">
        <v>45729</v>
      </c>
      <c r="W24" s="73">
        <v>45730</v>
      </c>
      <c r="X24" s="105">
        <v>45731</v>
      </c>
      <c r="Y24" s="2"/>
      <c r="Z24" s="83">
        <v>45760</v>
      </c>
      <c r="AA24" s="84">
        <v>45761</v>
      </c>
      <c r="AB24" s="84">
        <v>45762</v>
      </c>
      <c r="AC24" s="84">
        <v>45763</v>
      </c>
      <c r="AD24" s="84">
        <v>45764</v>
      </c>
      <c r="AE24" s="84">
        <v>45765</v>
      </c>
      <c r="AF24" s="85">
        <v>45766</v>
      </c>
      <c r="AG24" s="2"/>
      <c r="AH24" s="83">
        <v>45788</v>
      </c>
      <c r="AI24" s="26">
        <v>45789</v>
      </c>
      <c r="AJ24" s="26">
        <v>45790</v>
      </c>
      <c r="AK24" s="26">
        <v>45791</v>
      </c>
      <c r="AL24" s="26">
        <v>45792</v>
      </c>
      <c r="AM24" s="26">
        <v>45793</v>
      </c>
      <c r="AN24" s="105">
        <v>45794</v>
      </c>
      <c r="AO24" s="2"/>
      <c r="AP24" s="100">
        <v>45823</v>
      </c>
      <c r="AQ24" s="100">
        <v>45824</v>
      </c>
      <c r="AR24" s="100">
        <v>45825</v>
      </c>
      <c r="AS24" s="100">
        <v>45826</v>
      </c>
      <c r="AT24" s="100">
        <v>45827</v>
      </c>
      <c r="AU24" s="100">
        <v>45828</v>
      </c>
      <c r="AV24" s="100">
        <v>45829</v>
      </c>
    </row>
    <row r="25" spans="2:48">
      <c r="B25" s="83">
        <v>45676</v>
      </c>
      <c r="C25" s="73">
        <v>45677</v>
      </c>
      <c r="D25" s="73">
        <v>45678</v>
      </c>
      <c r="E25" s="73">
        <v>45679</v>
      </c>
      <c r="F25" s="73">
        <v>45680</v>
      </c>
      <c r="G25" s="73">
        <v>45681</v>
      </c>
      <c r="H25" s="74">
        <v>45682</v>
      </c>
      <c r="I25" s="2"/>
      <c r="J25" s="62">
        <v>45704</v>
      </c>
      <c r="K25" s="62">
        <v>45705</v>
      </c>
      <c r="L25" s="73">
        <v>45706</v>
      </c>
      <c r="M25" s="73">
        <v>45707</v>
      </c>
      <c r="N25" s="73">
        <v>45708</v>
      </c>
      <c r="O25" s="65">
        <v>45709</v>
      </c>
      <c r="P25" s="74">
        <v>45710</v>
      </c>
      <c r="R25" s="98">
        <v>45732</v>
      </c>
      <c r="S25" s="104">
        <v>45733</v>
      </c>
      <c r="T25" s="104">
        <v>45734</v>
      </c>
      <c r="U25" s="104">
        <v>45735</v>
      </c>
      <c r="V25" s="104">
        <v>45736</v>
      </c>
      <c r="W25" s="104">
        <v>45737</v>
      </c>
      <c r="X25" s="91">
        <v>45738</v>
      </c>
      <c r="Y25" s="2"/>
      <c r="Z25" s="99">
        <v>45767</v>
      </c>
      <c r="AA25" s="84">
        <v>45768</v>
      </c>
      <c r="AB25" s="84">
        <v>45769</v>
      </c>
      <c r="AC25" s="84">
        <v>45770</v>
      </c>
      <c r="AD25" s="84">
        <v>45771</v>
      </c>
      <c r="AE25" s="84">
        <v>45772</v>
      </c>
      <c r="AF25" s="61">
        <v>45773</v>
      </c>
      <c r="AG25" s="2"/>
      <c r="AH25" s="83">
        <v>45795</v>
      </c>
      <c r="AI25" s="120">
        <v>45796</v>
      </c>
      <c r="AJ25" s="120">
        <v>45797</v>
      </c>
      <c r="AK25" s="120">
        <v>45798</v>
      </c>
      <c r="AL25" s="120">
        <v>45799</v>
      </c>
      <c r="AM25" s="120">
        <v>45800</v>
      </c>
      <c r="AN25" s="120">
        <v>45801</v>
      </c>
      <c r="AO25" s="2"/>
      <c r="AP25" s="83">
        <v>45830</v>
      </c>
      <c r="AQ25" s="100">
        <v>45831</v>
      </c>
      <c r="AR25" s="100">
        <v>45832</v>
      </c>
      <c r="AS25" s="100">
        <v>45833</v>
      </c>
      <c r="AT25" s="100">
        <v>45834</v>
      </c>
      <c r="AU25" s="100">
        <v>45835</v>
      </c>
      <c r="AV25" s="100">
        <v>45836</v>
      </c>
    </row>
    <row r="26" spans="2:48">
      <c r="B26" s="83">
        <v>45683</v>
      </c>
      <c r="C26" s="91">
        <v>45684</v>
      </c>
      <c r="D26" s="73">
        <v>45685</v>
      </c>
      <c r="E26" s="104">
        <v>45686</v>
      </c>
      <c r="F26" s="73">
        <v>45687</v>
      </c>
      <c r="G26" s="61">
        <v>45688</v>
      </c>
      <c r="H26" s="74" t="str">
        <v/>
      </c>
      <c r="I26" s="2"/>
      <c r="J26" s="83">
        <v>45711</v>
      </c>
      <c r="K26" s="73">
        <v>45712</v>
      </c>
      <c r="L26" s="73">
        <v>45713</v>
      </c>
      <c r="M26" s="73">
        <v>45714</v>
      </c>
      <c r="N26" s="97">
        <v>45715</v>
      </c>
      <c r="O26" s="118">
        <v>45716</v>
      </c>
      <c r="P26" s="74" t="str">
        <v/>
      </c>
      <c r="R26" s="98">
        <v>45739</v>
      </c>
      <c r="S26" s="91">
        <v>45740</v>
      </c>
      <c r="T26" s="91">
        <v>45741</v>
      </c>
      <c r="U26" s="91">
        <v>45742</v>
      </c>
      <c r="V26" s="91">
        <v>45743</v>
      </c>
      <c r="W26" s="91">
        <v>45744</v>
      </c>
      <c r="X26" s="91">
        <v>45745</v>
      </c>
      <c r="Y26" s="2"/>
      <c r="Z26" s="83">
        <v>45774</v>
      </c>
      <c r="AA26" s="84">
        <v>45775</v>
      </c>
      <c r="AB26" s="84">
        <v>45776</v>
      </c>
      <c r="AC26" s="84">
        <v>45777</v>
      </c>
      <c r="AD26" s="84" t="str">
        <v/>
      </c>
      <c r="AE26" s="84" t="str">
        <v/>
      </c>
      <c r="AF26" s="85" t="str">
        <v/>
      </c>
      <c r="AG26" s="2"/>
      <c r="AH26" s="83">
        <v>45802</v>
      </c>
      <c r="AI26" s="119">
        <v>45803</v>
      </c>
      <c r="AJ26" s="119">
        <v>45804</v>
      </c>
      <c r="AK26" s="119">
        <v>45805</v>
      </c>
      <c r="AL26" s="119">
        <v>45806</v>
      </c>
      <c r="AM26" s="119">
        <v>45807</v>
      </c>
      <c r="AN26" s="61">
        <v>45808</v>
      </c>
      <c r="AO26" s="2"/>
      <c r="AP26" s="83">
        <v>45837</v>
      </c>
      <c r="AQ26" s="100">
        <v>45838</v>
      </c>
      <c r="AR26" s="84" t="str">
        <v/>
      </c>
      <c r="AS26" s="84" t="str">
        <v/>
      </c>
      <c r="AT26" s="84" t="str">
        <v/>
      </c>
      <c r="AU26" s="84" t="str">
        <v/>
      </c>
      <c r="AV26" s="85" t="str">
        <v/>
      </c>
    </row>
    <row r="27" spans="2:48" ht="15.75" thickBot="1">
      <c r="B27" s="87" t="str">
        <v/>
      </c>
      <c r="C27" s="78" t="str">
        <v/>
      </c>
      <c r="D27" s="78" t="str">
        <v/>
      </c>
      <c r="E27" s="78" t="str">
        <v/>
      </c>
      <c r="F27" s="78" t="str">
        <v/>
      </c>
      <c r="G27" s="78" t="str">
        <v/>
      </c>
      <c r="H27" s="79" t="str">
        <v/>
      </c>
      <c r="I27" s="2"/>
      <c r="J27" s="87" t="str">
        <v/>
      </c>
      <c r="K27" s="78" t="str">
        <v/>
      </c>
      <c r="L27" s="78" t="str">
        <v/>
      </c>
      <c r="M27" s="78" t="str">
        <v/>
      </c>
      <c r="N27" s="78" t="str">
        <v/>
      </c>
      <c r="O27" s="78" t="str">
        <v/>
      </c>
      <c r="P27" s="79" t="str">
        <v/>
      </c>
      <c r="R27" s="98">
        <v>45746</v>
      </c>
      <c r="S27" s="91">
        <v>45747</v>
      </c>
      <c r="T27" s="73" t="str">
        <v/>
      </c>
      <c r="U27" s="73" t="str">
        <v/>
      </c>
      <c r="V27" s="73" t="str">
        <v/>
      </c>
      <c r="W27" s="73" t="str">
        <v/>
      </c>
      <c r="X27" s="73" t="str">
        <v/>
      </c>
      <c r="Y27" s="2"/>
      <c r="Z27" s="87" t="str">
        <v/>
      </c>
      <c r="AA27" s="88" t="str">
        <v/>
      </c>
      <c r="AB27" s="88" t="str">
        <v/>
      </c>
      <c r="AC27" s="88" t="str">
        <v/>
      </c>
      <c r="AD27" s="88" t="str">
        <v/>
      </c>
      <c r="AE27" s="88" t="str">
        <v/>
      </c>
      <c r="AF27" s="89" t="str">
        <v/>
      </c>
      <c r="AG27" s="2"/>
      <c r="AH27" s="87" t="str">
        <v/>
      </c>
      <c r="AI27" s="78" t="str">
        <v/>
      </c>
      <c r="AJ27" s="78" t="str">
        <v/>
      </c>
      <c r="AK27" s="78" t="str">
        <v/>
      </c>
      <c r="AL27" s="78" t="str">
        <v/>
      </c>
      <c r="AM27" s="78" t="str">
        <v/>
      </c>
      <c r="AN27" s="79" t="str">
        <v/>
      </c>
      <c r="AO27" s="2"/>
      <c r="AP27" s="87" t="str">
        <v/>
      </c>
      <c r="AQ27" s="78" t="str">
        <v/>
      </c>
      <c r="AR27" s="78" t="str">
        <v/>
      </c>
      <c r="AS27" s="78" t="str">
        <v/>
      </c>
      <c r="AT27" s="78" t="str">
        <v/>
      </c>
      <c r="AU27" s="78" t="str">
        <v/>
      </c>
      <c r="AV27" s="79" t="str">
        <v/>
      </c>
    </row>
    <row r="28" spans="2:48" ht="15.75" thickBot="1">
      <c r="B28" s="517" t="s">
        <v>7</v>
      </c>
      <c r="C28" s="518"/>
      <c r="D28" s="518" t="s">
        <v>144</v>
      </c>
      <c r="E28" s="518"/>
      <c r="F28" s="518"/>
      <c r="G28" s="518" t="s">
        <v>10</v>
      </c>
      <c r="H28" s="519"/>
      <c r="I28" s="1"/>
      <c r="J28" s="517" t="s">
        <v>145</v>
      </c>
      <c r="K28" s="518"/>
      <c r="L28" s="518" t="s">
        <v>139</v>
      </c>
      <c r="M28" s="518"/>
      <c r="N28" s="518"/>
      <c r="O28" s="518" t="s">
        <v>12</v>
      </c>
      <c r="P28" s="519"/>
      <c r="R28" s="520" t="s">
        <v>7</v>
      </c>
      <c r="S28" s="521"/>
      <c r="T28" s="522" t="s">
        <v>146</v>
      </c>
      <c r="U28" s="523"/>
      <c r="V28" s="521"/>
      <c r="W28" s="522" t="s">
        <v>147</v>
      </c>
      <c r="X28" s="524"/>
      <c r="Y28" s="1"/>
      <c r="Z28" s="520" t="s">
        <v>9</v>
      </c>
      <c r="AA28" s="521"/>
      <c r="AB28" s="522" t="s">
        <v>148</v>
      </c>
      <c r="AC28" s="523"/>
      <c r="AD28" s="521"/>
      <c r="AE28" s="522" t="s">
        <v>13</v>
      </c>
      <c r="AF28" s="524"/>
      <c r="AG28" s="1"/>
      <c r="AH28" s="520" t="s">
        <v>7</v>
      </c>
      <c r="AI28" s="521"/>
      <c r="AJ28" s="522" t="s">
        <v>144</v>
      </c>
      <c r="AK28" s="523"/>
      <c r="AL28" s="521"/>
      <c r="AM28" s="522" t="s">
        <v>10</v>
      </c>
      <c r="AN28" s="524"/>
      <c r="AO28" s="1"/>
      <c r="AP28" s="520" t="s">
        <v>9</v>
      </c>
      <c r="AQ28" s="521"/>
      <c r="AR28" s="522" t="s">
        <v>143</v>
      </c>
      <c r="AS28" s="523"/>
      <c r="AT28" s="521"/>
      <c r="AU28" s="522" t="s">
        <v>149</v>
      </c>
      <c r="AV28" s="524"/>
    </row>
    <row r="30" spans="2:48">
      <c r="B30" s="23">
        <v>2</v>
      </c>
      <c r="C30" s="22" t="s">
        <v>24</v>
      </c>
      <c r="J30" s="26" t="s">
        <v>178</v>
      </c>
      <c r="K30" t="s">
        <v>25</v>
      </c>
      <c r="R30" s="21">
        <v>1</v>
      </c>
      <c r="S30" s="64" t="s">
        <v>18</v>
      </c>
      <c r="Z30" s="95" t="s">
        <v>181</v>
      </c>
      <c r="AA30" s="64" t="s">
        <v>27</v>
      </c>
      <c r="AH30" s="26" t="s">
        <v>182</v>
      </c>
      <c r="AI30" s="27" t="s">
        <v>108</v>
      </c>
      <c r="AP30" s="101" t="s">
        <v>155</v>
      </c>
      <c r="AQ30" s="27" t="s">
        <v>186</v>
      </c>
    </row>
    <row r="31" spans="2:48">
      <c r="B31" s="105">
        <v>18</v>
      </c>
      <c r="C31" s="30" t="s">
        <v>152</v>
      </c>
      <c r="J31" s="105">
        <v>15</v>
      </c>
      <c r="K31" s="30" t="s">
        <v>152</v>
      </c>
      <c r="R31" s="105">
        <v>15</v>
      </c>
      <c r="S31" s="30" t="s">
        <v>152</v>
      </c>
      <c r="Z31" s="61">
        <v>26</v>
      </c>
      <c r="AA31" s="30" t="s">
        <v>109</v>
      </c>
      <c r="AH31" s="120" t="s">
        <v>183</v>
      </c>
      <c r="AI31" s="27" t="s">
        <v>211</v>
      </c>
      <c r="AP31" s="121">
        <v>5</v>
      </c>
      <c r="AQ31" s="27" t="s">
        <v>229</v>
      </c>
    </row>
    <row r="32" spans="2:48">
      <c r="B32" s="91">
        <v>27</v>
      </c>
      <c r="C32" s="64" t="s">
        <v>176</v>
      </c>
      <c r="J32" s="62">
        <v>16</v>
      </c>
      <c r="K32" s="117" t="s">
        <v>179</v>
      </c>
      <c r="L32" s="117"/>
      <c r="M32" s="117"/>
      <c r="R32" s="91">
        <v>22</v>
      </c>
      <c r="S32" s="64" t="s">
        <v>180</v>
      </c>
      <c r="AH32" s="119" t="s">
        <v>184</v>
      </c>
      <c r="AI32" s="27" t="s">
        <v>185</v>
      </c>
      <c r="AP32" s="147" t="s">
        <v>230</v>
      </c>
      <c r="AQ32" s="64" t="s">
        <v>233</v>
      </c>
    </row>
    <row r="33" spans="2:43">
      <c r="B33" s="61">
        <v>31</v>
      </c>
      <c r="C33" s="30" t="s">
        <v>109</v>
      </c>
      <c r="J33" s="62">
        <v>17</v>
      </c>
      <c r="K33" s="117" t="s">
        <v>110</v>
      </c>
      <c r="L33" s="117"/>
      <c r="M33" s="117"/>
      <c r="AH33" s="105">
        <v>17</v>
      </c>
      <c r="AI33" s="30" t="s">
        <v>152</v>
      </c>
      <c r="AP33" s="121" t="s">
        <v>236</v>
      </c>
      <c r="AQ33" s="64" t="s">
        <v>187</v>
      </c>
    </row>
    <row r="34" spans="2:43">
      <c r="J34" s="65">
        <v>21</v>
      </c>
      <c r="K34" s="27" t="s">
        <v>113</v>
      </c>
      <c r="AH34" s="61">
        <v>31</v>
      </c>
      <c r="AI34" s="30" t="s">
        <v>109</v>
      </c>
      <c r="AP34" s="146">
        <v>14</v>
      </c>
      <c r="AQ34" s="64" t="s">
        <v>20</v>
      </c>
    </row>
    <row r="35" spans="2:43">
      <c r="J35" s="97" t="s">
        <v>177</v>
      </c>
      <c r="K35" s="64" t="s">
        <v>18</v>
      </c>
      <c r="AP35" s="146">
        <v>14</v>
      </c>
      <c r="AQ35" s="64" t="s">
        <v>49</v>
      </c>
    </row>
    <row r="36" spans="2:43">
      <c r="AP36" s="100">
        <v>15</v>
      </c>
      <c r="AQ36" t="s">
        <v>29</v>
      </c>
    </row>
  </sheetData>
  <mergeCells count="49">
    <mergeCell ref="B2:AV2"/>
    <mergeCell ref="AH28:AI28"/>
    <mergeCell ref="AJ28:AL28"/>
    <mergeCell ref="AM28:AN28"/>
    <mergeCell ref="AP28:AQ28"/>
    <mergeCell ref="AR28:AT28"/>
    <mergeCell ref="AU28:AV28"/>
    <mergeCell ref="R20:X20"/>
    <mergeCell ref="Z20:AF20"/>
    <mergeCell ref="AH20:AN20"/>
    <mergeCell ref="AP20:AV20"/>
    <mergeCell ref="R28:S28"/>
    <mergeCell ref="T28:V28"/>
    <mergeCell ref="W28:X28"/>
    <mergeCell ref="Z28:AA28"/>
    <mergeCell ref="AB28:AD28"/>
    <mergeCell ref="AE28:AF28"/>
    <mergeCell ref="B20:H20"/>
    <mergeCell ref="J20:P20"/>
    <mergeCell ref="B28:C28"/>
    <mergeCell ref="D28:F28"/>
    <mergeCell ref="G28:H28"/>
    <mergeCell ref="J28:K28"/>
    <mergeCell ref="L28:N28"/>
    <mergeCell ref="O28:P28"/>
    <mergeCell ref="AH4:AN4"/>
    <mergeCell ref="AP4:AV4"/>
    <mergeCell ref="AH12:AI12"/>
    <mergeCell ref="AJ12:AL12"/>
    <mergeCell ref="AM12:AN12"/>
    <mergeCell ref="AP12:AQ12"/>
    <mergeCell ref="AR12:AT12"/>
    <mergeCell ref="AU12:AV12"/>
    <mergeCell ref="R4:X4"/>
    <mergeCell ref="Z4:AF4"/>
    <mergeCell ref="B12:C12"/>
    <mergeCell ref="D12:F12"/>
    <mergeCell ref="G12:H12"/>
    <mergeCell ref="J12:K12"/>
    <mergeCell ref="L12:N12"/>
    <mergeCell ref="O12:P12"/>
    <mergeCell ref="R12:S12"/>
    <mergeCell ref="T12:V12"/>
    <mergeCell ref="B4:H4"/>
    <mergeCell ref="J4:P4"/>
    <mergeCell ref="W12:X12"/>
    <mergeCell ref="Z12:AA12"/>
    <mergeCell ref="AB12:AD12"/>
    <mergeCell ref="AE12:AF12"/>
  </mergeCells>
  <phoneticPr fontId="19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33"/>
  <sheetViews>
    <sheetView topLeftCell="A13" zoomScale="85" zoomScaleNormal="85" workbookViewId="0">
      <selection activeCell="K9" sqref="K9"/>
    </sheetView>
  </sheetViews>
  <sheetFormatPr defaultColWidth="9.140625" defaultRowHeight="15"/>
  <cols>
    <col min="1" max="1" width="9.140625" style="32"/>
    <col min="2" max="2" width="5.5703125" style="32" customWidth="1"/>
    <col min="3" max="3" width="41.85546875" style="32" customWidth="1"/>
    <col min="4" max="5" width="9.140625" style="32"/>
    <col min="6" max="6" width="5.5703125" style="33" customWidth="1"/>
    <col min="7" max="7" width="37" style="32" customWidth="1"/>
    <col min="8" max="9" width="9.140625" style="32"/>
    <col min="10" max="10" width="7.42578125" style="32" customWidth="1"/>
    <col min="11" max="11" width="41.85546875" style="32" customWidth="1"/>
    <col min="12" max="12" width="10.85546875" style="32" customWidth="1"/>
    <col min="13" max="16384" width="9.140625" style="32"/>
  </cols>
  <sheetData>
    <row r="3" spans="2:12" ht="31.5">
      <c r="B3" s="528" t="s">
        <v>333</v>
      </c>
      <c r="C3" s="528"/>
      <c r="D3" s="528"/>
      <c r="E3" s="528"/>
      <c r="F3" s="528"/>
      <c r="G3" s="528"/>
      <c r="H3" s="528"/>
      <c r="I3" s="528"/>
      <c r="J3" s="528"/>
      <c r="K3" s="528"/>
      <c r="L3" s="528"/>
    </row>
    <row r="5" spans="2:12" ht="21">
      <c r="B5" s="46" t="s">
        <v>360</v>
      </c>
      <c r="C5" s="45"/>
      <c r="D5" s="44"/>
      <c r="F5" s="419" t="s">
        <v>112</v>
      </c>
      <c r="G5" s="420"/>
      <c r="I5" s="44"/>
      <c r="J5" s="47" t="s">
        <v>41</v>
      </c>
      <c r="K5" s="43"/>
    </row>
    <row r="6" spans="2:12" ht="21">
      <c r="B6" s="46" t="s">
        <v>361</v>
      </c>
      <c r="C6" s="45"/>
      <c r="D6" s="44"/>
      <c r="F6" s="420" t="s">
        <v>331</v>
      </c>
      <c r="G6" s="420"/>
      <c r="I6" s="44"/>
      <c r="J6" s="43" t="s">
        <v>332</v>
      </c>
      <c r="K6" s="43"/>
    </row>
    <row r="7" spans="2:12">
      <c r="B7" s="33"/>
      <c r="F7" s="32"/>
    </row>
    <row r="8" spans="2:12" s="40" customFormat="1" ht="23.25" customHeight="1" thickBot="1">
      <c r="B8" s="42" t="s">
        <v>40</v>
      </c>
      <c r="C8" s="42" t="s">
        <v>39</v>
      </c>
      <c r="D8" s="42" t="s">
        <v>38</v>
      </c>
      <c r="F8" s="421" t="s">
        <v>40</v>
      </c>
      <c r="G8" s="421" t="s">
        <v>39</v>
      </c>
      <c r="H8" s="421" t="s">
        <v>38</v>
      </c>
      <c r="J8" s="41" t="s">
        <v>40</v>
      </c>
      <c r="K8" s="41" t="s">
        <v>39</v>
      </c>
      <c r="L8" s="41" t="s">
        <v>38</v>
      </c>
    </row>
    <row r="9" spans="2:12" ht="24" customHeight="1" thickTop="1" thickBot="1">
      <c r="B9" s="38">
        <v>1</v>
      </c>
      <c r="C9" s="132" t="s">
        <v>191</v>
      </c>
      <c r="D9" s="38" t="s">
        <v>37</v>
      </c>
      <c r="E9" s="35"/>
      <c r="F9" s="39">
        <v>1</v>
      </c>
      <c r="G9" s="123" t="s">
        <v>164</v>
      </c>
      <c r="H9" s="150" t="s">
        <v>37</v>
      </c>
      <c r="I9" s="35"/>
      <c r="J9" s="39">
        <v>1</v>
      </c>
      <c r="K9" s="123"/>
      <c r="L9" s="150"/>
    </row>
    <row r="10" spans="2:12" ht="24" customHeight="1" thickBot="1">
      <c r="B10" s="36">
        <v>2</v>
      </c>
      <c r="C10" s="133" t="s">
        <v>197</v>
      </c>
      <c r="D10" s="36" t="s">
        <v>37</v>
      </c>
      <c r="E10" s="35"/>
      <c r="F10" s="37">
        <v>2</v>
      </c>
      <c r="G10" s="123" t="s">
        <v>168</v>
      </c>
      <c r="H10" s="150" t="s">
        <v>37</v>
      </c>
      <c r="I10" s="35"/>
      <c r="J10" s="37">
        <v>2</v>
      </c>
      <c r="K10" s="123"/>
      <c r="L10" s="150"/>
    </row>
    <row r="11" spans="2:12" ht="24" customHeight="1" thickBot="1">
      <c r="B11" s="36">
        <v>3</v>
      </c>
      <c r="C11" s="133" t="s">
        <v>198</v>
      </c>
      <c r="D11" s="36" t="s">
        <v>37</v>
      </c>
      <c r="E11" s="35"/>
      <c r="F11" s="37">
        <v>3</v>
      </c>
      <c r="G11" s="123" t="s">
        <v>172</v>
      </c>
      <c r="H11" s="150" t="s">
        <v>37</v>
      </c>
      <c r="I11" s="35"/>
      <c r="J11" s="37">
        <v>3</v>
      </c>
      <c r="K11" s="123"/>
      <c r="L11" s="150"/>
    </row>
    <row r="12" spans="2:12" ht="24" customHeight="1" thickBot="1">
      <c r="B12" s="36">
        <v>4</v>
      </c>
      <c r="C12" s="133" t="s">
        <v>199</v>
      </c>
      <c r="D12" s="36" t="s">
        <v>37</v>
      </c>
      <c r="E12" s="35"/>
      <c r="F12" s="37">
        <v>4</v>
      </c>
      <c r="G12" s="123" t="s">
        <v>160</v>
      </c>
      <c r="H12" s="150" t="s">
        <v>37</v>
      </c>
      <c r="I12" s="35"/>
      <c r="J12" s="37">
        <v>4</v>
      </c>
      <c r="K12" s="123"/>
      <c r="L12" s="150"/>
    </row>
    <row r="13" spans="2:12" ht="24" customHeight="1" thickBot="1">
      <c r="B13" s="36">
        <v>5</v>
      </c>
      <c r="C13" s="133" t="s">
        <v>201</v>
      </c>
      <c r="D13" s="36" t="s">
        <v>37</v>
      </c>
      <c r="E13" s="35"/>
      <c r="F13" s="37">
        <v>5</v>
      </c>
      <c r="G13" s="123" t="s">
        <v>170</v>
      </c>
      <c r="H13" s="150" t="s">
        <v>37</v>
      </c>
      <c r="I13" s="35"/>
      <c r="J13" s="37">
        <v>5</v>
      </c>
      <c r="K13" s="123"/>
      <c r="L13" s="150"/>
    </row>
    <row r="14" spans="2:12" ht="24" customHeight="1" thickBot="1">
      <c r="B14" s="36">
        <v>6</v>
      </c>
      <c r="C14" s="133" t="s">
        <v>202</v>
      </c>
      <c r="D14" s="36" t="s">
        <v>37</v>
      </c>
      <c r="E14" s="35"/>
      <c r="F14" s="37">
        <v>6</v>
      </c>
      <c r="G14" s="123" t="s">
        <v>161</v>
      </c>
      <c r="H14" s="150" t="s">
        <v>37</v>
      </c>
      <c r="I14" s="35"/>
      <c r="J14" s="37">
        <v>6</v>
      </c>
      <c r="K14" s="123"/>
      <c r="L14" s="150"/>
    </row>
    <row r="15" spans="2:12" ht="24" customHeight="1" thickBot="1">
      <c r="B15" s="36">
        <v>7</v>
      </c>
      <c r="C15" s="133" t="s">
        <v>203</v>
      </c>
      <c r="D15" s="36" t="s">
        <v>37</v>
      </c>
      <c r="E15" s="35"/>
      <c r="F15" s="37">
        <v>7</v>
      </c>
      <c r="G15" s="124" t="s">
        <v>174</v>
      </c>
      <c r="H15" s="150" t="s">
        <v>37</v>
      </c>
      <c r="I15" s="35"/>
      <c r="J15" s="37">
        <v>7</v>
      </c>
      <c r="K15" s="124"/>
      <c r="L15" s="150"/>
    </row>
    <row r="16" spans="2:12" ht="24" customHeight="1" thickBot="1">
      <c r="B16" s="36">
        <v>8</v>
      </c>
      <c r="C16" s="133" t="s">
        <v>334</v>
      </c>
      <c r="D16" s="36" t="s">
        <v>37</v>
      </c>
      <c r="E16" s="35"/>
      <c r="F16" s="37">
        <v>8</v>
      </c>
      <c r="G16" s="123" t="s">
        <v>173</v>
      </c>
      <c r="H16" s="150" t="s">
        <v>37</v>
      </c>
      <c r="I16" s="35"/>
      <c r="J16" s="37">
        <v>8</v>
      </c>
      <c r="K16" s="123"/>
      <c r="L16" s="150"/>
    </row>
    <row r="17" spans="2:12" ht="24" customHeight="1" thickBot="1">
      <c r="B17" s="36">
        <v>9</v>
      </c>
      <c r="C17" s="133" t="s">
        <v>204</v>
      </c>
      <c r="D17" s="36" t="s">
        <v>37</v>
      </c>
      <c r="E17" s="35"/>
      <c r="F17" s="37">
        <v>9</v>
      </c>
      <c r="G17" s="123" t="s">
        <v>162</v>
      </c>
      <c r="H17" s="150" t="s">
        <v>37</v>
      </c>
      <c r="I17" s="35"/>
      <c r="J17" s="37">
        <v>9</v>
      </c>
      <c r="K17" s="123"/>
      <c r="L17" s="150"/>
    </row>
    <row r="18" spans="2:12" ht="24" customHeight="1" thickBot="1">
      <c r="B18" s="36">
        <v>10</v>
      </c>
      <c r="C18" s="133" t="s">
        <v>206</v>
      </c>
      <c r="D18" s="36" t="s">
        <v>37</v>
      </c>
      <c r="E18" s="35"/>
      <c r="F18" s="37">
        <v>10</v>
      </c>
      <c r="G18" s="123" t="s">
        <v>171</v>
      </c>
      <c r="H18" s="150" t="s">
        <v>37</v>
      </c>
      <c r="I18" s="35"/>
      <c r="J18" s="37">
        <v>10</v>
      </c>
      <c r="K18" s="123"/>
      <c r="L18" s="150"/>
    </row>
    <row r="19" spans="2:12" ht="24" customHeight="1" thickBot="1">
      <c r="B19" s="36">
        <v>11</v>
      </c>
      <c r="C19" s="133" t="s">
        <v>207</v>
      </c>
      <c r="D19" s="36" t="s">
        <v>37</v>
      </c>
      <c r="E19" s="35"/>
      <c r="F19" s="37">
        <v>11</v>
      </c>
      <c r="G19" s="123" t="s">
        <v>169</v>
      </c>
      <c r="H19" s="150" t="s">
        <v>37</v>
      </c>
      <c r="I19" s="35"/>
      <c r="J19" s="37">
        <v>11</v>
      </c>
      <c r="K19" s="123"/>
      <c r="L19" s="150"/>
    </row>
    <row r="20" spans="2:12" ht="24" customHeight="1" thickBot="1">
      <c r="B20" s="36">
        <v>12</v>
      </c>
      <c r="C20" s="133" t="s">
        <v>208</v>
      </c>
      <c r="D20" s="36" t="s">
        <v>37</v>
      </c>
      <c r="E20" s="35"/>
      <c r="F20" s="37">
        <v>12</v>
      </c>
      <c r="G20" s="123" t="s">
        <v>163</v>
      </c>
      <c r="H20" s="150" t="s">
        <v>36</v>
      </c>
      <c r="I20" s="35"/>
      <c r="J20" s="37">
        <v>12</v>
      </c>
      <c r="K20" s="123"/>
      <c r="L20" s="150"/>
    </row>
    <row r="21" spans="2:12" ht="24" customHeight="1" thickBot="1">
      <c r="B21" s="36">
        <v>13</v>
      </c>
      <c r="C21" s="133" t="s">
        <v>209</v>
      </c>
      <c r="D21" s="36" t="s">
        <v>37</v>
      </c>
      <c r="E21" s="35"/>
      <c r="F21" s="37">
        <v>13</v>
      </c>
      <c r="G21" s="123" t="s">
        <v>165</v>
      </c>
      <c r="H21" s="150" t="s">
        <v>36</v>
      </c>
      <c r="I21" s="35"/>
      <c r="J21" s="37">
        <v>13</v>
      </c>
      <c r="K21" s="123"/>
      <c r="L21" s="150"/>
    </row>
    <row r="22" spans="2:12" ht="24" customHeight="1" thickBot="1">
      <c r="B22" s="36">
        <v>14</v>
      </c>
      <c r="C22" s="133" t="s">
        <v>192</v>
      </c>
      <c r="D22" s="36" t="s">
        <v>36</v>
      </c>
      <c r="E22" s="35"/>
      <c r="F22" s="37">
        <v>14</v>
      </c>
      <c r="G22" s="123" t="s">
        <v>166</v>
      </c>
      <c r="H22" s="150" t="s">
        <v>36</v>
      </c>
      <c r="I22" s="35"/>
      <c r="J22" s="37">
        <v>14</v>
      </c>
      <c r="K22" s="123"/>
      <c r="L22" s="150"/>
    </row>
    <row r="23" spans="2:12" ht="24" customHeight="1" thickBot="1">
      <c r="B23" s="36">
        <v>15</v>
      </c>
      <c r="C23" s="133" t="s">
        <v>193</v>
      </c>
      <c r="D23" s="36" t="s">
        <v>36</v>
      </c>
      <c r="E23" s="35"/>
      <c r="F23" s="37">
        <v>15</v>
      </c>
      <c r="G23" s="123" t="s">
        <v>167</v>
      </c>
      <c r="H23" s="150" t="s">
        <v>36</v>
      </c>
      <c r="I23" s="35"/>
      <c r="J23" s="37">
        <v>15</v>
      </c>
      <c r="K23" s="123"/>
      <c r="L23" s="150"/>
    </row>
    <row r="24" spans="2:12" ht="24" customHeight="1" thickBot="1">
      <c r="B24" s="36">
        <v>16</v>
      </c>
      <c r="C24" s="133" t="s">
        <v>194</v>
      </c>
      <c r="D24" s="36" t="s">
        <v>36</v>
      </c>
      <c r="E24" s="35"/>
      <c r="F24" s="37">
        <v>16</v>
      </c>
      <c r="G24" s="148" t="s">
        <v>234</v>
      </c>
      <c r="H24" s="150" t="s">
        <v>36</v>
      </c>
      <c r="I24" s="35"/>
      <c r="J24" s="37">
        <v>16</v>
      </c>
      <c r="K24" s="148"/>
      <c r="L24" s="150"/>
    </row>
    <row r="25" spans="2:12" ht="24" customHeight="1" thickBot="1">
      <c r="B25" s="36">
        <v>17</v>
      </c>
      <c r="C25" s="133" t="s">
        <v>195</v>
      </c>
      <c r="D25" s="36" t="s">
        <v>36</v>
      </c>
      <c r="E25" s="35"/>
      <c r="F25" s="37">
        <v>17</v>
      </c>
      <c r="G25" s="148" t="s">
        <v>335</v>
      </c>
      <c r="H25" s="150" t="s">
        <v>37</v>
      </c>
      <c r="I25" s="35"/>
      <c r="K25" s="35" t="s">
        <v>362</v>
      </c>
    </row>
    <row r="26" spans="2:12" ht="20.100000000000001" customHeight="1" thickBot="1">
      <c r="B26" s="36">
        <v>18</v>
      </c>
      <c r="C26" s="133" t="s">
        <v>196</v>
      </c>
      <c r="D26" s="36" t="s">
        <v>36</v>
      </c>
      <c r="E26" s="34"/>
      <c r="G26" s="35" t="s">
        <v>336</v>
      </c>
      <c r="I26" s="34"/>
      <c r="K26" s="134" t="s">
        <v>363</v>
      </c>
    </row>
    <row r="27" spans="2:12" ht="20.100000000000001" customHeight="1" thickBot="1">
      <c r="B27" s="36">
        <v>19</v>
      </c>
      <c r="C27" s="133" t="s">
        <v>200</v>
      </c>
      <c r="D27" s="36" t="s">
        <v>36</v>
      </c>
      <c r="G27" s="134" t="s">
        <v>210</v>
      </c>
      <c r="J27" s="115"/>
    </row>
    <row r="28" spans="2:12" ht="19.5" thickBot="1">
      <c r="B28" s="36">
        <v>20</v>
      </c>
      <c r="C28" s="133" t="s">
        <v>205</v>
      </c>
      <c r="D28" s="36" t="s">
        <v>36</v>
      </c>
      <c r="J28" s="115"/>
      <c r="L28" s="116"/>
    </row>
    <row r="29" spans="2:12" ht="18.75">
      <c r="B29" s="33"/>
      <c r="C29" s="35" t="s">
        <v>371</v>
      </c>
    </row>
    <row r="30" spans="2:12" ht="18.75">
      <c r="B30" s="33"/>
      <c r="C30" s="35" t="s">
        <v>212</v>
      </c>
    </row>
    <row r="31" spans="2:12" ht="21">
      <c r="G31" s="462" t="s">
        <v>364</v>
      </c>
      <c r="H31" s="462">
        <f>13+12+7</f>
        <v>32</v>
      </c>
    </row>
    <row r="32" spans="2:12" ht="24.75" customHeight="1">
      <c r="G32" s="462" t="s">
        <v>365</v>
      </c>
      <c r="H32" s="462">
        <f>7+5+9</f>
        <v>21</v>
      </c>
    </row>
    <row r="33" spans="7:8" ht="21">
      <c r="G33" s="462" t="s">
        <v>366</v>
      </c>
      <c r="H33" s="462">
        <f>SUM(H31:H32)</f>
        <v>53</v>
      </c>
    </row>
  </sheetData>
  <sortState ref="C10:D28">
    <sortCondition ref="D10:D28"/>
  </sortState>
  <mergeCells count="1">
    <mergeCell ref="B3:L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5"/>
  <sheetViews>
    <sheetView topLeftCell="A61" zoomScale="115" zoomScaleNormal="115" workbookViewId="0">
      <selection activeCell="F88" sqref="F88"/>
    </sheetView>
  </sheetViews>
  <sheetFormatPr defaultColWidth="9.140625" defaultRowHeight="15"/>
  <cols>
    <col min="1" max="1" width="6.28515625" style="32" customWidth="1"/>
    <col min="2" max="2" width="19.5703125" style="32" customWidth="1"/>
    <col min="3" max="3" width="22.42578125" style="32" customWidth="1"/>
    <col min="4" max="4" width="24.85546875" style="32" customWidth="1"/>
    <col min="5" max="16384" width="9.140625" style="32"/>
  </cols>
  <sheetData>
    <row r="1" spans="1:5" ht="21">
      <c r="A1" s="541" t="s">
        <v>79</v>
      </c>
      <c r="B1" s="541"/>
      <c r="C1" s="541"/>
      <c r="D1" s="541"/>
    </row>
    <row r="2" spans="1:5" ht="21">
      <c r="A2" s="541" t="s">
        <v>338</v>
      </c>
      <c r="B2" s="541"/>
      <c r="C2" s="541"/>
      <c r="D2" s="541"/>
    </row>
    <row r="3" spans="1:5">
      <c r="A3" s="60"/>
      <c r="B3" s="60"/>
      <c r="C3" s="60"/>
      <c r="D3" s="60"/>
    </row>
    <row r="4" spans="1:5" ht="27" customHeight="1">
      <c r="A4" s="59" t="s">
        <v>30</v>
      </c>
      <c r="B4" s="59" t="s">
        <v>78</v>
      </c>
      <c r="C4" s="59" t="s">
        <v>77</v>
      </c>
      <c r="D4" s="59" t="s">
        <v>76</v>
      </c>
    </row>
    <row r="5" spans="1:5" ht="15" customHeight="1">
      <c r="A5" s="542">
        <v>1</v>
      </c>
      <c r="B5" s="545" t="s">
        <v>75</v>
      </c>
      <c r="C5" s="126" t="s">
        <v>48</v>
      </c>
      <c r="D5" s="126" t="s">
        <v>339</v>
      </c>
    </row>
    <row r="6" spans="1:5" ht="15" customHeight="1">
      <c r="A6" s="543"/>
      <c r="B6" s="546"/>
      <c r="C6" s="428" t="s">
        <v>344</v>
      </c>
      <c r="D6" s="428" t="s">
        <v>64</v>
      </c>
    </row>
    <row r="7" spans="1:5">
      <c r="A7" s="543"/>
      <c r="B7" s="546"/>
      <c r="C7" s="533" t="s">
        <v>345</v>
      </c>
      <c r="D7" s="533" t="s">
        <v>346</v>
      </c>
    </row>
    <row r="8" spans="1:5" ht="0.75" customHeight="1">
      <c r="A8" s="543"/>
      <c r="B8" s="546"/>
      <c r="C8" s="534"/>
      <c r="D8" s="534"/>
    </row>
    <row r="9" spans="1:5">
      <c r="A9" s="543"/>
      <c r="B9" s="546"/>
      <c r="C9" s="126" t="s">
        <v>33</v>
      </c>
      <c r="D9" s="126" t="s">
        <v>50</v>
      </c>
    </row>
    <row r="10" spans="1:5" ht="15" customHeight="1">
      <c r="A10" s="543"/>
      <c r="B10" s="546"/>
      <c r="C10" s="126" t="s">
        <v>74</v>
      </c>
      <c r="D10" s="126" t="s">
        <v>46</v>
      </c>
      <c r="E10" s="58"/>
    </row>
    <row r="11" spans="1:5" ht="15" customHeight="1">
      <c r="A11" s="543"/>
      <c r="B11" s="546"/>
      <c r="C11" s="126" t="s">
        <v>73</v>
      </c>
      <c r="D11" s="126" t="s">
        <v>61</v>
      </c>
    </row>
    <row r="12" spans="1:5" ht="15" customHeight="1">
      <c r="A12" s="543"/>
      <c r="B12" s="546"/>
      <c r="C12" s="126"/>
      <c r="D12" s="126" t="s">
        <v>157</v>
      </c>
    </row>
    <row r="13" spans="1:5" ht="15" customHeight="1">
      <c r="A13" s="543"/>
      <c r="B13" s="546"/>
      <c r="C13" s="127"/>
      <c r="D13" s="126" t="s">
        <v>372</v>
      </c>
    </row>
    <row r="14" spans="1:5" ht="15" customHeight="1">
      <c r="A14" s="544"/>
      <c r="B14" s="547"/>
      <c r="C14" s="126" t="s">
        <v>72</v>
      </c>
      <c r="D14" s="126" t="s">
        <v>50</v>
      </c>
      <c r="E14" s="32" t="s">
        <v>71</v>
      </c>
    </row>
    <row r="15" spans="1:5" ht="15" customHeight="1">
      <c r="A15" s="566">
        <v>2</v>
      </c>
      <c r="B15" s="563" t="s">
        <v>70</v>
      </c>
      <c r="C15" s="128" t="s">
        <v>48</v>
      </c>
      <c r="D15" s="128" t="s">
        <v>51</v>
      </c>
    </row>
    <row r="16" spans="1:5" ht="15" customHeight="1">
      <c r="A16" s="567"/>
      <c r="B16" s="564"/>
      <c r="C16" s="560" t="s">
        <v>44</v>
      </c>
      <c r="D16" s="128" t="s">
        <v>69</v>
      </c>
    </row>
    <row r="17" spans="1:4" ht="15" customHeight="1">
      <c r="A17" s="567"/>
      <c r="B17" s="564"/>
      <c r="C17" s="561"/>
      <c r="D17" s="128" t="s">
        <v>68</v>
      </c>
    </row>
    <row r="18" spans="1:4" ht="15" customHeight="1">
      <c r="A18" s="567"/>
      <c r="B18" s="564"/>
      <c r="C18" s="561"/>
      <c r="D18" s="128" t="s">
        <v>34</v>
      </c>
    </row>
    <row r="19" spans="1:4" ht="15" customHeight="1">
      <c r="A19" s="567"/>
      <c r="B19" s="564"/>
      <c r="C19" s="561"/>
      <c r="D19" s="128" t="s">
        <v>373</v>
      </c>
    </row>
    <row r="20" spans="1:4" ht="15" customHeight="1">
      <c r="A20" s="567"/>
      <c r="B20" s="564"/>
      <c r="C20" s="561"/>
      <c r="D20" s="128" t="s">
        <v>67</v>
      </c>
    </row>
    <row r="21" spans="1:4" ht="15" customHeight="1">
      <c r="A21" s="567"/>
      <c r="B21" s="564"/>
      <c r="C21" s="561"/>
      <c r="D21" s="128" t="s">
        <v>369</v>
      </c>
    </row>
    <row r="22" spans="1:4" ht="15" customHeight="1">
      <c r="A22" s="567"/>
      <c r="B22" s="564"/>
      <c r="C22" s="561"/>
      <c r="D22" s="128" t="s">
        <v>189</v>
      </c>
    </row>
    <row r="23" spans="1:4" ht="15" customHeight="1">
      <c r="A23" s="567"/>
      <c r="B23" s="564"/>
      <c r="C23" s="561"/>
      <c r="D23" s="128" t="s">
        <v>368</v>
      </c>
    </row>
    <row r="24" spans="1:4" ht="15" customHeight="1">
      <c r="A24" s="568"/>
      <c r="B24" s="565"/>
      <c r="C24" s="562"/>
      <c r="D24" s="128" t="s">
        <v>157</v>
      </c>
    </row>
    <row r="25" spans="1:4" ht="15" hidden="1" customHeight="1">
      <c r="A25" s="557">
        <v>3</v>
      </c>
      <c r="B25" s="551" t="s">
        <v>66</v>
      </c>
      <c r="C25" s="48" t="s">
        <v>48</v>
      </c>
      <c r="D25" s="48" t="s">
        <v>35</v>
      </c>
    </row>
    <row r="26" spans="1:4" ht="15" hidden="1" customHeight="1">
      <c r="A26" s="558"/>
      <c r="B26" s="552"/>
      <c r="C26" s="48" t="s">
        <v>65</v>
      </c>
      <c r="D26" s="48" t="s">
        <v>64</v>
      </c>
    </row>
    <row r="27" spans="1:4" ht="15" hidden="1" customHeight="1">
      <c r="A27" s="558"/>
      <c r="B27" s="552"/>
      <c r="C27" s="48" t="s">
        <v>44</v>
      </c>
      <c r="D27" s="48" t="s">
        <v>63</v>
      </c>
    </row>
    <row r="28" spans="1:4" ht="15" hidden="1" customHeight="1">
      <c r="A28" s="558"/>
      <c r="B28" s="552"/>
      <c r="C28" s="48"/>
      <c r="D28" s="48" t="s">
        <v>62</v>
      </c>
    </row>
    <row r="29" spans="1:4" ht="15" hidden="1" customHeight="1">
      <c r="A29" s="558"/>
      <c r="B29" s="552"/>
      <c r="C29" s="48"/>
      <c r="D29" s="48" t="s">
        <v>61</v>
      </c>
    </row>
    <row r="30" spans="1:4" ht="15" hidden="1" customHeight="1">
      <c r="A30" s="559"/>
      <c r="B30" s="553"/>
      <c r="C30" s="48"/>
      <c r="D30" s="48" t="s">
        <v>57</v>
      </c>
    </row>
    <row r="31" spans="1:4" ht="15" customHeight="1">
      <c r="A31" s="554">
        <v>4</v>
      </c>
      <c r="B31" s="548" t="s">
        <v>60</v>
      </c>
      <c r="C31" s="56" t="s">
        <v>48</v>
      </c>
      <c r="D31" s="56" t="s">
        <v>59</v>
      </c>
    </row>
    <row r="32" spans="1:4">
      <c r="A32" s="555"/>
      <c r="B32" s="549"/>
      <c r="C32" s="56" t="s">
        <v>47</v>
      </c>
      <c r="D32" s="56" t="s">
        <v>35</v>
      </c>
    </row>
    <row r="33" spans="1:4">
      <c r="A33" s="555"/>
      <c r="B33" s="549"/>
      <c r="C33" s="56" t="s">
        <v>33</v>
      </c>
      <c r="D33" s="56" t="s">
        <v>50</v>
      </c>
    </row>
    <row r="34" spans="1:4">
      <c r="A34" s="555"/>
      <c r="B34" s="549"/>
      <c r="C34" s="125" t="s">
        <v>190</v>
      </c>
      <c r="D34" s="108" t="s">
        <v>61</v>
      </c>
    </row>
    <row r="35" spans="1:4">
      <c r="A35" s="555"/>
      <c r="B35" s="549"/>
      <c r="C35" s="535" t="s">
        <v>44</v>
      </c>
      <c r="D35" s="56" t="s">
        <v>58</v>
      </c>
    </row>
    <row r="36" spans="1:4">
      <c r="A36" s="555"/>
      <c r="B36" s="549"/>
      <c r="C36" s="570"/>
      <c r="D36" s="56" t="s">
        <v>46</v>
      </c>
    </row>
    <row r="37" spans="1:4">
      <c r="A37" s="555"/>
      <c r="B37" s="549"/>
      <c r="C37" s="570"/>
      <c r="D37" s="56" t="s">
        <v>57</v>
      </c>
    </row>
    <row r="38" spans="1:4" ht="15.75" customHeight="1">
      <c r="A38" s="555"/>
      <c r="B38" s="549"/>
      <c r="C38" s="570"/>
      <c r="D38" s="108" t="s">
        <v>369</v>
      </c>
    </row>
    <row r="39" spans="1:4" ht="15.75" customHeight="1">
      <c r="A39" s="555"/>
      <c r="B39" s="549"/>
      <c r="C39" s="570"/>
      <c r="D39" s="108" t="s">
        <v>157</v>
      </c>
    </row>
    <row r="40" spans="1:4" ht="0.75" customHeight="1">
      <c r="A40" s="555"/>
      <c r="B40" s="549"/>
      <c r="C40" s="536"/>
      <c r="D40" s="56"/>
    </row>
    <row r="41" spans="1:4" hidden="1">
      <c r="A41" s="555"/>
      <c r="B41" s="549"/>
      <c r="C41" s="569"/>
      <c r="D41" s="535"/>
    </row>
    <row r="42" spans="1:4" ht="3" hidden="1" customHeight="1">
      <c r="A42" s="555"/>
      <c r="B42" s="549"/>
      <c r="C42" s="569"/>
      <c r="D42" s="536"/>
    </row>
    <row r="43" spans="1:4" hidden="1">
      <c r="A43" s="555"/>
      <c r="B43" s="549"/>
      <c r="C43" s="569"/>
      <c r="D43" s="56"/>
    </row>
    <row r="44" spans="1:4" hidden="1">
      <c r="A44" s="555"/>
      <c r="B44" s="549"/>
      <c r="C44" s="569"/>
      <c r="D44" s="56"/>
    </row>
    <row r="45" spans="1:4" hidden="1">
      <c r="A45" s="555"/>
      <c r="B45" s="549"/>
      <c r="C45" s="57" t="s">
        <v>56</v>
      </c>
      <c r="D45" s="56" t="s">
        <v>31</v>
      </c>
    </row>
    <row r="46" spans="1:4" hidden="1">
      <c r="A46" s="556"/>
      <c r="B46" s="550"/>
      <c r="C46" s="57" t="s">
        <v>55</v>
      </c>
      <c r="D46" s="56" t="s">
        <v>32</v>
      </c>
    </row>
    <row r="47" spans="1:4" s="52" customFormat="1" ht="0.75" customHeight="1">
      <c r="A47" s="55">
        <v>5</v>
      </c>
      <c r="B47" s="54" t="s">
        <v>54</v>
      </c>
      <c r="C47" s="53" t="s">
        <v>48</v>
      </c>
      <c r="D47" s="529" t="s">
        <v>53</v>
      </c>
    </row>
    <row r="48" spans="1:4" s="52" customFormat="1" ht="14.25" hidden="1" customHeight="1">
      <c r="A48" s="55">
        <v>6</v>
      </c>
      <c r="B48" s="54" t="s">
        <v>52</v>
      </c>
      <c r="C48" s="53" t="s">
        <v>48</v>
      </c>
      <c r="D48" s="530"/>
    </row>
    <row r="49" spans="1:4" s="52" customFormat="1" ht="16.5" customHeight="1">
      <c r="A49" s="571">
        <v>5</v>
      </c>
      <c r="B49" s="537" t="s">
        <v>114</v>
      </c>
      <c r="C49" s="50" t="s">
        <v>48</v>
      </c>
      <c r="D49" s="423" t="s">
        <v>343</v>
      </c>
    </row>
    <row r="50" spans="1:4" s="52" customFormat="1" ht="16.5" customHeight="1">
      <c r="A50" s="572"/>
      <c r="B50" s="538"/>
      <c r="C50" s="50" t="s">
        <v>47</v>
      </c>
      <c r="D50" s="424" t="s">
        <v>189</v>
      </c>
    </row>
    <row r="51" spans="1:4">
      <c r="A51" s="572"/>
      <c r="B51" s="538"/>
      <c r="C51" s="51" t="s">
        <v>33</v>
      </c>
      <c r="D51" s="50" t="s">
        <v>45</v>
      </c>
    </row>
    <row r="52" spans="1:4">
      <c r="A52" s="572"/>
      <c r="B52" s="538"/>
      <c r="C52" s="540" t="s">
        <v>44</v>
      </c>
      <c r="D52" s="50" t="s">
        <v>35</v>
      </c>
    </row>
    <row r="53" spans="1:4">
      <c r="A53" s="572"/>
      <c r="B53" s="538"/>
      <c r="C53" s="538"/>
      <c r="D53" s="50" t="s">
        <v>43</v>
      </c>
    </row>
    <row r="54" spans="1:4">
      <c r="A54" s="572"/>
      <c r="B54" s="538"/>
      <c r="C54" s="538"/>
      <c r="D54" s="424" t="s">
        <v>340</v>
      </c>
    </row>
    <row r="55" spans="1:4">
      <c r="A55" s="572"/>
      <c r="B55" s="538"/>
      <c r="C55" s="538"/>
      <c r="D55" s="50" t="s">
        <v>369</v>
      </c>
    </row>
    <row r="56" spans="1:4">
      <c r="A56" s="573"/>
      <c r="B56" s="539"/>
      <c r="C56" s="539"/>
      <c r="D56" s="50" t="s">
        <v>42</v>
      </c>
    </row>
    <row r="57" spans="1:4">
      <c r="A57" s="574">
        <v>6</v>
      </c>
      <c r="B57" s="532" t="s">
        <v>80</v>
      </c>
      <c r="C57" s="129" t="s">
        <v>48</v>
      </c>
      <c r="D57" s="427" t="s">
        <v>341</v>
      </c>
    </row>
    <row r="58" spans="1:4">
      <c r="A58" s="574"/>
      <c r="B58" s="532"/>
      <c r="C58" s="579" t="s">
        <v>47</v>
      </c>
      <c r="D58" s="463" t="s">
        <v>189</v>
      </c>
    </row>
    <row r="59" spans="1:4" hidden="1">
      <c r="A59" s="574"/>
      <c r="B59" s="532"/>
      <c r="C59" s="580"/>
      <c r="D59" s="130"/>
    </row>
    <row r="60" spans="1:4">
      <c r="A60" s="574"/>
      <c r="B60" s="532"/>
      <c r="C60" s="129" t="s">
        <v>33</v>
      </c>
      <c r="D60" s="130" t="s">
        <v>50</v>
      </c>
    </row>
    <row r="61" spans="1:4">
      <c r="A61" s="574"/>
      <c r="B61" s="532"/>
      <c r="C61" s="531" t="s">
        <v>44</v>
      </c>
      <c r="D61" s="463" t="s">
        <v>367</v>
      </c>
    </row>
    <row r="62" spans="1:4">
      <c r="A62" s="574"/>
      <c r="B62" s="532"/>
      <c r="C62" s="531"/>
      <c r="D62" s="597" t="s">
        <v>374</v>
      </c>
    </row>
    <row r="63" spans="1:4">
      <c r="A63" s="574"/>
      <c r="B63" s="532"/>
      <c r="C63" s="531"/>
      <c r="D63" s="130" t="s">
        <v>35</v>
      </c>
    </row>
    <row r="64" spans="1:4">
      <c r="A64" s="574"/>
      <c r="B64" s="532"/>
      <c r="C64" s="531"/>
      <c r="D64" s="463" t="s">
        <v>369</v>
      </c>
    </row>
    <row r="65" spans="1:4">
      <c r="A65" s="574"/>
      <c r="B65" s="532"/>
      <c r="C65" s="531"/>
      <c r="D65" s="139" t="s">
        <v>42</v>
      </c>
    </row>
    <row r="66" spans="1:4">
      <c r="A66" s="574"/>
      <c r="B66" s="532"/>
      <c r="C66" s="531"/>
      <c r="D66" s="131" t="s">
        <v>135</v>
      </c>
    </row>
    <row r="67" spans="1:4">
      <c r="A67" s="574"/>
      <c r="B67" s="532"/>
      <c r="C67" s="531"/>
      <c r="D67" s="131" t="s">
        <v>136</v>
      </c>
    </row>
    <row r="68" spans="1:4" hidden="1">
      <c r="A68" s="574"/>
      <c r="B68" s="532"/>
      <c r="C68" s="531"/>
      <c r="D68" s="130"/>
    </row>
    <row r="69" spans="1:4" hidden="1">
      <c r="A69" s="574"/>
      <c r="B69" s="532"/>
      <c r="C69" s="531"/>
      <c r="D69" s="130"/>
    </row>
    <row r="70" spans="1:4" hidden="1">
      <c r="A70" s="574"/>
      <c r="B70" s="532"/>
      <c r="C70" s="531"/>
      <c r="D70" s="130"/>
    </row>
    <row r="71" spans="1:4">
      <c r="A71" s="578">
        <v>7</v>
      </c>
      <c r="B71" s="576" t="s">
        <v>49</v>
      </c>
      <c r="C71" s="49" t="s">
        <v>48</v>
      </c>
      <c r="D71" s="422" t="s">
        <v>337</v>
      </c>
    </row>
    <row r="72" spans="1:4">
      <c r="A72" s="578"/>
      <c r="B72" s="577"/>
      <c r="C72" s="581" t="s">
        <v>47</v>
      </c>
      <c r="D72" s="425" t="s">
        <v>341</v>
      </c>
    </row>
    <row r="73" spans="1:4" ht="0.75" customHeight="1">
      <c r="A73" s="578"/>
      <c r="B73" s="577"/>
      <c r="C73" s="582"/>
      <c r="D73" s="48"/>
    </row>
    <row r="74" spans="1:4">
      <c r="A74" s="578"/>
      <c r="B74" s="577"/>
      <c r="C74" s="49" t="s">
        <v>33</v>
      </c>
      <c r="D74" s="48" t="s">
        <v>45</v>
      </c>
    </row>
    <row r="75" spans="1:4">
      <c r="A75" s="578"/>
      <c r="B75" s="577"/>
      <c r="C75" s="426" t="s">
        <v>342</v>
      </c>
      <c r="D75" s="425" t="s">
        <v>343</v>
      </c>
    </row>
    <row r="76" spans="1:4">
      <c r="A76" s="578"/>
      <c r="B76" s="577"/>
      <c r="C76" s="575" t="s">
        <v>44</v>
      </c>
      <c r="D76" s="48" t="s">
        <v>42</v>
      </c>
    </row>
    <row r="77" spans="1:4">
      <c r="A77" s="578"/>
      <c r="B77" s="577"/>
      <c r="C77" s="575"/>
      <c r="D77" s="109" t="s">
        <v>157</v>
      </c>
    </row>
    <row r="78" spans="1:4">
      <c r="A78" s="578"/>
      <c r="B78" s="577"/>
      <c r="C78" s="575"/>
      <c r="D78" s="464" t="s">
        <v>369</v>
      </c>
    </row>
    <row r="79" spans="1:4">
      <c r="A79" s="578"/>
      <c r="B79" s="577"/>
      <c r="C79" s="575"/>
      <c r="D79" s="598" t="s">
        <v>373</v>
      </c>
    </row>
    <row r="80" spans="1:4">
      <c r="A80" s="578"/>
      <c r="B80" s="577"/>
      <c r="C80" s="575"/>
      <c r="D80" s="464" t="s">
        <v>368</v>
      </c>
    </row>
    <row r="81" spans="1:4">
      <c r="A81" s="578"/>
      <c r="B81" s="577"/>
      <c r="C81" s="575"/>
      <c r="D81" s="464" t="s">
        <v>189</v>
      </c>
    </row>
    <row r="82" spans="1:4">
      <c r="A82" s="578"/>
      <c r="B82" s="577"/>
      <c r="C82" s="575"/>
      <c r="D82" s="464" t="s">
        <v>43</v>
      </c>
    </row>
    <row r="83" spans="1:4">
      <c r="A83" s="578"/>
      <c r="B83" s="577"/>
      <c r="C83" s="575"/>
      <c r="D83" s="598" t="s">
        <v>35</v>
      </c>
    </row>
    <row r="84" spans="1:4" hidden="1">
      <c r="A84" s="578"/>
      <c r="B84" s="577"/>
      <c r="C84" s="575"/>
      <c r="D84" s="48"/>
    </row>
    <row r="85" spans="1:4" hidden="1">
      <c r="A85" s="578"/>
      <c r="B85" s="577"/>
      <c r="C85" s="575"/>
      <c r="D85" s="48"/>
    </row>
  </sheetData>
  <mergeCells count="28">
    <mergeCell ref="A49:A56"/>
    <mergeCell ref="A57:A70"/>
    <mergeCell ref="C76:C85"/>
    <mergeCell ref="B71:B85"/>
    <mergeCell ref="A71:A85"/>
    <mergeCell ref="C58:C59"/>
    <mergeCell ref="C72:C73"/>
    <mergeCell ref="A1:D1"/>
    <mergeCell ref="A2:D2"/>
    <mergeCell ref="A5:A14"/>
    <mergeCell ref="B5:B14"/>
    <mergeCell ref="B31:B46"/>
    <mergeCell ref="B25:B30"/>
    <mergeCell ref="A31:A46"/>
    <mergeCell ref="A25:A30"/>
    <mergeCell ref="C16:C24"/>
    <mergeCell ref="B15:B24"/>
    <mergeCell ref="A15:A24"/>
    <mergeCell ref="C41:C44"/>
    <mergeCell ref="C35:C40"/>
    <mergeCell ref="D47:D48"/>
    <mergeCell ref="C61:C70"/>
    <mergeCell ref="B57:B70"/>
    <mergeCell ref="D7:D8"/>
    <mergeCell ref="D41:D42"/>
    <mergeCell ref="B49:B56"/>
    <mergeCell ref="C52:C56"/>
    <mergeCell ref="C7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401A-8FEE-4031-818C-34726CC7E838}">
  <dimension ref="D1:Q29"/>
  <sheetViews>
    <sheetView topLeftCell="B3" zoomScale="110" zoomScaleNormal="110" workbookViewId="0">
      <selection activeCell="G13" sqref="G13"/>
    </sheetView>
  </sheetViews>
  <sheetFormatPr defaultColWidth="9.140625" defaultRowHeight="15"/>
  <cols>
    <col min="1" max="3" width="9.140625" style="151"/>
    <col min="4" max="4" width="15.5703125" style="151" customWidth="1"/>
    <col min="5" max="5" width="18.85546875" style="151" customWidth="1"/>
    <col min="6" max="10" width="17.7109375" style="151" customWidth="1"/>
    <col min="11" max="11" width="25" style="151" customWidth="1"/>
    <col min="12" max="16384" width="9.140625" style="151"/>
  </cols>
  <sheetData>
    <row r="1" spans="4:17" ht="30">
      <c r="D1" s="587" t="s">
        <v>250</v>
      </c>
      <c r="E1" s="587"/>
      <c r="F1" s="587"/>
      <c r="G1" s="587"/>
      <c r="H1" s="587"/>
      <c r="I1" s="587"/>
      <c r="J1" s="587"/>
      <c r="K1" s="587"/>
    </row>
    <row r="3" spans="4:17" s="153" customFormat="1" ht="36.75" customHeight="1" thickBot="1">
      <c r="D3" s="152" t="s">
        <v>107</v>
      </c>
      <c r="E3" s="152" t="s">
        <v>106</v>
      </c>
      <c r="F3" s="152" t="s">
        <v>105</v>
      </c>
      <c r="G3" s="152" t="s">
        <v>104</v>
      </c>
      <c r="H3" s="152" t="s">
        <v>103</v>
      </c>
      <c r="I3" s="152" t="s">
        <v>102</v>
      </c>
      <c r="J3" s="152" t="s">
        <v>101</v>
      </c>
      <c r="K3" s="152" t="s">
        <v>100</v>
      </c>
      <c r="O3" s="586" t="s">
        <v>99</v>
      </c>
      <c r="P3" s="586"/>
      <c r="Q3" s="586"/>
    </row>
    <row r="4" spans="4:17" ht="24.95" customHeight="1" thickTop="1">
      <c r="D4" s="588">
        <v>1</v>
      </c>
      <c r="E4" s="154" t="s">
        <v>94</v>
      </c>
      <c r="F4" s="155" t="s">
        <v>237</v>
      </c>
      <c r="G4" s="155" t="s">
        <v>237</v>
      </c>
      <c r="H4" s="155" t="s">
        <v>237</v>
      </c>
      <c r="I4" s="155" t="s">
        <v>237</v>
      </c>
      <c r="J4" s="155" t="s">
        <v>237</v>
      </c>
      <c r="K4" s="155" t="s">
        <v>237</v>
      </c>
      <c r="M4" s="156"/>
      <c r="O4" s="157" t="s">
        <v>98</v>
      </c>
      <c r="P4" s="157"/>
    </row>
    <row r="5" spans="4:17" ht="24.95" customHeight="1">
      <c r="D5" s="589"/>
      <c r="E5" s="158" t="s">
        <v>238</v>
      </c>
      <c r="F5" s="585" t="s">
        <v>239</v>
      </c>
      <c r="G5" s="585"/>
      <c r="H5" s="585"/>
      <c r="I5" s="585"/>
      <c r="J5" s="585"/>
      <c r="K5" s="585"/>
      <c r="M5" s="156"/>
      <c r="O5" s="157"/>
      <c r="P5" s="157"/>
    </row>
    <row r="6" spans="4:17" ht="24.95" customHeight="1">
      <c r="D6" s="589"/>
      <c r="E6" s="159" t="s">
        <v>92</v>
      </c>
      <c r="F6" s="160" t="s">
        <v>240</v>
      </c>
      <c r="G6" s="160" t="s">
        <v>376</v>
      </c>
      <c r="H6" s="160" t="s">
        <v>241</v>
      </c>
      <c r="I6" s="160" t="s">
        <v>242</v>
      </c>
      <c r="J6" s="160" t="s">
        <v>243</v>
      </c>
      <c r="K6" s="160" t="s">
        <v>244</v>
      </c>
      <c r="O6" s="157"/>
      <c r="P6" s="157"/>
    </row>
    <row r="7" spans="4:17" ht="24.95" hidden="1" customHeight="1" thickTop="1" thickBot="1">
      <c r="D7" s="589"/>
      <c r="E7" s="159"/>
      <c r="F7" s="160"/>
      <c r="G7" s="160"/>
      <c r="H7" s="160"/>
      <c r="I7" s="160"/>
      <c r="J7" s="160"/>
      <c r="K7" s="160"/>
      <c r="O7" s="157" t="s">
        <v>97</v>
      </c>
      <c r="P7" s="157"/>
    </row>
    <row r="8" spans="4:17" ht="24.95" customHeight="1">
      <c r="D8" s="589"/>
      <c r="E8" s="158" t="s">
        <v>245</v>
      </c>
      <c r="F8" s="585" t="s">
        <v>246</v>
      </c>
      <c r="G8" s="585"/>
      <c r="H8" s="585"/>
      <c r="I8" s="585"/>
      <c r="J8" s="585"/>
      <c r="K8" s="585"/>
      <c r="O8" s="157"/>
      <c r="P8" s="157"/>
    </row>
    <row r="9" spans="4:17" ht="24.95" customHeight="1">
      <c r="D9" s="584">
        <v>2</v>
      </c>
      <c r="E9" s="161" t="s">
        <v>94</v>
      </c>
      <c r="F9" s="162" t="s">
        <v>237</v>
      </c>
      <c r="G9" s="162" t="s">
        <v>237</v>
      </c>
      <c r="H9" s="162" t="s">
        <v>237</v>
      </c>
      <c r="I9" s="162" t="s">
        <v>237</v>
      </c>
      <c r="J9" s="162" t="s">
        <v>237</v>
      </c>
      <c r="K9" s="162" t="s">
        <v>237</v>
      </c>
      <c r="O9" s="157" t="s">
        <v>96</v>
      </c>
      <c r="P9" s="157"/>
    </row>
    <row r="10" spans="4:17" ht="24.95" customHeight="1">
      <c r="D10" s="584"/>
      <c r="E10" s="158" t="s">
        <v>238</v>
      </c>
      <c r="F10" s="585" t="s">
        <v>239</v>
      </c>
      <c r="G10" s="585"/>
      <c r="H10" s="585"/>
      <c r="I10" s="585"/>
      <c r="J10" s="585"/>
      <c r="K10" s="585"/>
      <c r="O10" s="157"/>
      <c r="P10" s="157"/>
    </row>
    <row r="11" spans="4:17" ht="24.95" customHeight="1">
      <c r="D11" s="584"/>
      <c r="E11" s="161" t="s">
        <v>92</v>
      </c>
      <c r="F11" s="162" t="s">
        <v>241</v>
      </c>
      <c r="G11" s="162" t="s">
        <v>240</v>
      </c>
      <c r="H11" s="162" t="s">
        <v>376</v>
      </c>
      <c r="I11" s="162" t="s">
        <v>244</v>
      </c>
      <c r="J11" s="162" t="s">
        <v>242</v>
      </c>
      <c r="K11" s="162" t="s">
        <v>243</v>
      </c>
      <c r="O11" s="586" t="s">
        <v>95</v>
      </c>
      <c r="P11" s="586"/>
      <c r="Q11" s="586"/>
    </row>
    <row r="12" spans="4:17" ht="24.95" customHeight="1">
      <c r="D12" s="584"/>
      <c r="E12" s="158" t="s">
        <v>245</v>
      </c>
      <c r="F12" s="585" t="s">
        <v>246</v>
      </c>
      <c r="G12" s="585"/>
      <c r="H12" s="585"/>
      <c r="I12" s="585"/>
      <c r="J12" s="585"/>
      <c r="K12" s="585"/>
      <c r="O12" s="163"/>
      <c r="P12" s="163"/>
      <c r="Q12" s="163"/>
    </row>
    <row r="13" spans="4:17" ht="24.95" customHeight="1">
      <c r="D13" s="584">
        <v>3</v>
      </c>
      <c r="E13" s="161" t="s">
        <v>94</v>
      </c>
      <c r="F13" s="162" t="s">
        <v>237</v>
      </c>
      <c r="G13" s="162" t="s">
        <v>237</v>
      </c>
      <c r="H13" s="162" t="s">
        <v>237</v>
      </c>
      <c r="I13" s="162" t="s">
        <v>237</v>
      </c>
      <c r="J13" s="162" t="s">
        <v>237</v>
      </c>
      <c r="K13" s="162" t="s">
        <v>237</v>
      </c>
      <c r="O13" s="164" t="s">
        <v>93</v>
      </c>
      <c r="P13" s="164"/>
    </row>
    <row r="14" spans="4:17" ht="24.95" customHeight="1">
      <c r="D14" s="584"/>
      <c r="E14" s="158" t="s">
        <v>238</v>
      </c>
      <c r="F14" s="585" t="s">
        <v>239</v>
      </c>
      <c r="G14" s="585"/>
      <c r="H14" s="585"/>
      <c r="I14" s="585"/>
      <c r="J14" s="585"/>
      <c r="K14" s="585"/>
      <c r="O14" s="164"/>
      <c r="P14" s="164"/>
    </row>
    <row r="15" spans="4:17" ht="24.95" customHeight="1">
      <c r="D15" s="584"/>
      <c r="E15" s="161" t="s">
        <v>92</v>
      </c>
      <c r="F15" s="162" t="s">
        <v>376</v>
      </c>
      <c r="G15" s="162" t="s">
        <v>241</v>
      </c>
      <c r="H15" s="162" t="s">
        <v>240</v>
      </c>
      <c r="I15" s="162" t="s">
        <v>243</v>
      </c>
      <c r="J15" s="162" t="s">
        <v>244</v>
      </c>
      <c r="K15" s="162" t="s">
        <v>242</v>
      </c>
      <c r="O15" s="164" t="s">
        <v>91</v>
      </c>
      <c r="P15" s="164"/>
    </row>
    <row r="16" spans="4:17" ht="24.95" hidden="1" customHeight="1" thickTop="1" thickBot="1">
      <c r="D16" s="584"/>
      <c r="E16" s="161" t="s">
        <v>115</v>
      </c>
      <c r="F16" s="162" t="s">
        <v>247</v>
      </c>
      <c r="G16" s="162"/>
      <c r="H16" s="162"/>
      <c r="I16" s="162"/>
      <c r="J16" s="162"/>
      <c r="K16" s="162"/>
      <c r="O16" s="586" t="s">
        <v>90</v>
      </c>
      <c r="P16" s="586"/>
      <c r="Q16" s="586"/>
    </row>
    <row r="17" spans="4:17" ht="24.95" hidden="1" customHeight="1" thickTop="1" thickBot="1">
      <c r="D17" s="584"/>
      <c r="E17" s="161" t="s">
        <v>115</v>
      </c>
      <c r="F17" s="162"/>
      <c r="G17" s="162" t="s">
        <v>247</v>
      </c>
      <c r="H17" s="162"/>
      <c r="I17" s="162"/>
      <c r="J17" s="162"/>
      <c r="K17" s="162"/>
      <c r="O17" s="164" t="s">
        <v>89</v>
      </c>
      <c r="P17" s="164"/>
      <c r="Q17" s="164"/>
    </row>
    <row r="18" spans="4:17" ht="24.95" hidden="1" customHeight="1" thickTop="1" thickBot="1">
      <c r="D18" s="584"/>
      <c r="E18" s="161" t="s">
        <v>115</v>
      </c>
      <c r="F18" s="162"/>
      <c r="G18" s="162"/>
      <c r="H18" s="162" t="s">
        <v>247</v>
      </c>
      <c r="I18" s="162"/>
      <c r="J18" s="162"/>
      <c r="K18" s="162"/>
      <c r="O18" s="165" t="s">
        <v>88</v>
      </c>
      <c r="P18" s="165"/>
      <c r="Q18" s="165"/>
    </row>
    <row r="19" spans="4:17" ht="24.95" customHeight="1">
      <c r="D19" s="584"/>
      <c r="E19" s="158" t="s">
        <v>245</v>
      </c>
      <c r="F19" s="585" t="s">
        <v>246</v>
      </c>
      <c r="G19" s="585"/>
      <c r="H19" s="585"/>
      <c r="I19" s="585"/>
      <c r="J19" s="585"/>
      <c r="K19" s="585"/>
      <c r="O19" s="165"/>
      <c r="P19" s="165"/>
      <c r="Q19" s="165"/>
    </row>
    <row r="20" spans="4:17" ht="23.25">
      <c r="O20" s="165" t="s">
        <v>87</v>
      </c>
      <c r="P20" s="165"/>
      <c r="Q20" s="165"/>
    </row>
    <row r="21" spans="4:17" ht="23.25">
      <c r="D21" s="166" t="s">
        <v>86</v>
      </c>
      <c r="E21" s="166"/>
      <c r="O21" s="165" t="s">
        <v>85</v>
      </c>
      <c r="P21" s="165"/>
      <c r="Q21" s="165"/>
    </row>
    <row r="22" spans="4:17" ht="19.5">
      <c r="D22" s="166" t="s">
        <v>84</v>
      </c>
      <c r="E22" s="166"/>
    </row>
    <row r="23" spans="4:17" ht="19.5">
      <c r="D23" s="166" t="s">
        <v>83</v>
      </c>
      <c r="E23" s="166"/>
    </row>
    <row r="24" spans="4:17" ht="19.5">
      <c r="D24" s="166" t="s">
        <v>82</v>
      </c>
      <c r="E24" s="166"/>
    </row>
    <row r="25" spans="4:17" ht="19.5">
      <c r="D25" s="166" t="s">
        <v>248</v>
      </c>
      <c r="E25" s="166"/>
    </row>
    <row r="26" spans="4:17" ht="19.5">
      <c r="D26" s="166" t="s">
        <v>249</v>
      </c>
      <c r="E26" s="166"/>
    </row>
    <row r="27" spans="4:17" ht="19.5">
      <c r="D27" s="166" t="s">
        <v>81</v>
      </c>
      <c r="E27" s="166"/>
    </row>
    <row r="28" spans="4:17" ht="19.5">
      <c r="D28" s="166" t="s">
        <v>116</v>
      </c>
    </row>
    <row r="29" spans="4:17" ht="19.5">
      <c r="D29" s="166" t="s">
        <v>375</v>
      </c>
      <c r="E29" s="166"/>
    </row>
  </sheetData>
  <mergeCells count="13">
    <mergeCell ref="D13:D19"/>
    <mergeCell ref="F14:K14"/>
    <mergeCell ref="O16:Q16"/>
    <mergeCell ref="F19:K19"/>
    <mergeCell ref="D1:K1"/>
    <mergeCell ref="O3:Q3"/>
    <mergeCell ref="D4:D8"/>
    <mergeCell ref="F5:K5"/>
    <mergeCell ref="F8:K8"/>
    <mergeCell ref="D9:D12"/>
    <mergeCell ref="F10:K10"/>
    <mergeCell ref="O11:Q11"/>
    <mergeCell ref="F12:K1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E24B-635F-426D-9044-87BFC19E235A}">
  <dimension ref="B2:H6"/>
  <sheetViews>
    <sheetView tabSelected="1" zoomScale="140" zoomScaleNormal="140" workbookViewId="0">
      <selection activeCell="G8" sqref="G8"/>
    </sheetView>
  </sheetViews>
  <sheetFormatPr defaultRowHeight="15"/>
  <cols>
    <col min="2" max="2" width="12.5703125" customWidth="1"/>
    <col min="3" max="8" width="17.28515625" customWidth="1"/>
  </cols>
  <sheetData>
    <row r="2" spans="2:8" ht="27">
      <c r="B2" s="583" t="s">
        <v>213</v>
      </c>
      <c r="C2" s="583"/>
      <c r="D2" s="583"/>
      <c r="E2" s="583"/>
      <c r="F2" s="583"/>
      <c r="G2" s="583"/>
      <c r="H2" s="583"/>
    </row>
    <row r="4" spans="2:8" s="135" customFormat="1" ht="23.25" customHeight="1">
      <c r="B4" s="149"/>
      <c r="C4" s="136" t="s">
        <v>214</v>
      </c>
      <c r="D4" s="136" t="s">
        <v>215</v>
      </c>
      <c r="E4" s="136" t="s">
        <v>216</v>
      </c>
      <c r="F4" s="136" t="s">
        <v>217</v>
      </c>
      <c r="G4" s="136" t="s">
        <v>218</v>
      </c>
      <c r="H4" s="136" t="s">
        <v>219</v>
      </c>
    </row>
    <row r="5" spans="2:8" ht="22.5" customHeight="1">
      <c r="B5" s="137" t="s">
        <v>220</v>
      </c>
      <c r="C5" s="138" t="s">
        <v>222</v>
      </c>
      <c r="D5" s="138" t="s">
        <v>224</v>
      </c>
      <c r="E5" s="138" t="s">
        <v>223</v>
      </c>
      <c r="F5" s="138" t="s">
        <v>225</v>
      </c>
      <c r="G5" s="138" t="s">
        <v>226</v>
      </c>
      <c r="H5" s="138" t="s">
        <v>227</v>
      </c>
    </row>
    <row r="6" spans="2:8" ht="22.5" customHeight="1">
      <c r="B6" s="137" t="s">
        <v>221</v>
      </c>
      <c r="C6" s="138"/>
      <c r="D6" s="138"/>
      <c r="E6" s="138" t="s">
        <v>223</v>
      </c>
      <c r="F6" s="138" t="s">
        <v>235</v>
      </c>
      <c r="G6" s="138" t="s">
        <v>226</v>
      </c>
      <c r="H6" s="138" t="s">
        <v>227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F9EC-DC6A-426E-85A3-B1CBEA5A6270}">
  <dimension ref="A1:G13"/>
  <sheetViews>
    <sheetView zoomScale="130" zoomScaleNormal="130" workbookViewId="0">
      <selection activeCell="A12" sqref="A12"/>
    </sheetView>
  </sheetViews>
  <sheetFormatPr defaultRowHeight="15"/>
  <cols>
    <col min="2" max="2" width="8.7109375" customWidth="1"/>
    <col min="3" max="3" width="11.85546875" customWidth="1"/>
    <col min="4" max="4" width="11.140625" bestFit="1" customWidth="1"/>
    <col min="5" max="5" width="3.28515625" customWidth="1"/>
    <col min="6" max="6" width="7.140625" customWidth="1"/>
    <col min="7" max="7" width="6.7109375" customWidth="1"/>
  </cols>
  <sheetData>
    <row r="1" spans="1:7">
      <c r="B1" t="s">
        <v>117</v>
      </c>
      <c r="C1" t="s">
        <v>118</v>
      </c>
      <c r="D1" t="s">
        <v>119</v>
      </c>
      <c r="F1" t="s">
        <v>120</v>
      </c>
      <c r="G1" t="s">
        <v>121</v>
      </c>
    </row>
    <row r="2" spans="1:7">
      <c r="A2" t="s">
        <v>122</v>
      </c>
      <c r="B2">
        <v>48</v>
      </c>
      <c r="C2">
        <v>30</v>
      </c>
      <c r="D2">
        <v>2</v>
      </c>
      <c r="F2">
        <f t="shared" ref="F2:F5" si="0">D2/4</f>
        <v>0.5</v>
      </c>
      <c r="G2">
        <f>F2</f>
        <v>0.5</v>
      </c>
    </row>
    <row r="3" spans="1:7">
      <c r="A3" t="s">
        <v>123</v>
      </c>
      <c r="B3">
        <v>48</v>
      </c>
      <c r="C3">
        <v>30</v>
      </c>
      <c r="D3">
        <v>2</v>
      </c>
      <c r="F3">
        <f t="shared" si="0"/>
        <v>0.5</v>
      </c>
      <c r="G3">
        <f t="shared" ref="G3:G5" si="1">G2+F3</f>
        <v>1</v>
      </c>
    </row>
    <row r="4" spans="1:7">
      <c r="A4" s="66" t="s">
        <v>124</v>
      </c>
      <c r="B4">
        <v>64</v>
      </c>
      <c r="C4">
        <v>6</v>
      </c>
      <c r="D4">
        <v>11</v>
      </c>
      <c r="F4">
        <v>3</v>
      </c>
      <c r="G4">
        <f t="shared" si="1"/>
        <v>4</v>
      </c>
    </row>
    <row r="5" spans="1:7">
      <c r="A5" t="s">
        <v>125</v>
      </c>
      <c r="B5">
        <v>72</v>
      </c>
      <c r="C5">
        <v>3</v>
      </c>
      <c r="D5">
        <f t="shared" ref="D5" si="2">B5/C5</f>
        <v>24</v>
      </c>
      <c r="F5">
        <f t="shared" si="0"/>
        <v>6</v>
      </c>
      <c r="G5">
        <f t="shared" si="1"/>
        <v>10</v>
      </c>
    </row>
    <row r="7" spans="1:7">
      <c r="A7" s="68" t="s">
        <v>126</v>
      </c>
    </row>
    <row r="8" spans="1:7">
      <c r="A8" s="67" t="s">
        <v>131</v>
      </c>
      <c r="B8" t="s">
        <v>132</v>
      </c>
    </row>
    <row r="9" spans="1:7">
      <c r="A9" s="67" t="s">
        <v>128</v>
      </c>
      <c r="B9" t="s">
        <v>133</v>
      </c>
    </row>
    <row r="10" spans="1:7">
      <c r="A10" s="67" t="s">
        <v>128</v>
      </c>
      <c r="B10" t="s">
        <v>134</v>
      </c>
    </row>
    <row r="12" spans="1:7">
      <c r="A12" s="67" t="s">
        <v>128</v>
      </c>
      <c r="B12" t="s">
        <v>130</v>
      </c>
    </row>
    <row r="13" spans="1:7">
      <c r="A13" s="67" t="s">
        <v>127</v>
      </c>
      <c r="B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KALDIK 2025-2026</vt:lpstr>
      <vt:lpstr>KALDIK 2024-2025</vt:lpstr>
      <vt:lpstr>Rombel &amp; Wali Kelas</vt:lpstr>
      <vt:lpstr>Kepanitiaan</vt:lpstr>
      <vt:lpstr>JADWAL DINIYAH (2)</vt:lpstr>
      <vt:lpstr>SERAGAM ASATIDZAH</vt:lpstr>
      <vt:lpstr>tahsin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2019-06-29T14:16:26Z</cp:lastPrinted>
  <dcterms:created xsi:type="dcterms:W3CDTF">2015-02-23T06:43:34Z</dcterms:created>
  <dcterms:modified xsi:type="dcterms:W3CDTF">2025-07-10T04:06:17Z</dcterms:modified>
</cp:coreProperties>
</file>